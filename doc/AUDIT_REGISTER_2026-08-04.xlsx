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ister" sheetId="1" state="visible" r:id="rId3"/>
    <sheet name="Summary" sheetId="2" state="visible" r:id="rId4"/>
  </sheets>
  <definedNames>
    <definedName function="false" hidden="true" localSheetId="0" name="_xlnm._FilterDatabase" vbProcedure="false">Register!$A$1:$H$212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<sst xmlns="http://schemas.openxmlformats.org/spreadsheetml/2006/main" count="1558" uniqueCount="558">
  <si>
    <t xml:space="preserve">ID</t>
  </si>
  <si>
    <t xml:space="preserve">Audit</t>
  </si>
  <si>
    <t xml:space="preserve">Finding</t>
  </si>
  <si>
    <t xml:space="preserve">Severity</t>
  </si>
  <si>
    <t xml:space="preserve">Fix class</t>
  </si>
  <si>
    <t xml:space="preserve">Status</t>
  </si>
  <si>
    <t xml:space="preserve">Verification</t>
  </si>
  <si>
    <t xml:space="preserve">Verification note / evidence</t>
  </si>
  <si>
    <t xml:space="preserve">SEC-C1</t>
  </si>
  <si>
    <t xml:space="preserve">Security</t>
  </si>
  <si>
    <t xml:space="preserve">Live production credentials and employee PII committed to the repo, in the one path CI is told not to scan</t>
  </si>
  <si>
    <t xml:space="preserve">Critical</t>
  </si>
  <si>
    <t xml:space="preserve">Process + purge</t>
  </si>
  <si>
    <t xml:space="preserve">Fixed</t>
  </si>
  <si>
    <t xml:space="preserve">Verified in code</t>
  </si>
  <si>
    <t xml:space="preserve">Scanner un-excluded AND pattern set widened; 7 credential files cleaned (5 more than the audit cited, incl. 2 Groq keys CI found). CREDENTIALS ROTATED BY OWNER 2026-08-04. History still contains them — purge declined, rotation makes it harmless.</t>
  </si>
  <si>
    <t xml:space="preserve">SEC-C2</t>
  </si>
  <si>
    <t xml:space="preserve">Logout does not end the session; the refresh token stays valid</t>
  </si>
  <si>
    <t xml:space="preserve">Code, quick</t>
  </si>
  <si>
    <t xml:space="preserve">Access tokens now carry `sid`; logout revokes the session from the TOKEN, not a body field the client never sent. Both issuance paths (login + refresh rotation) carry it — a test asserts every signAccessToken call site does. Response reports session_revoked honestly. Verified to FAIL 4/6 against the old service. Commit 809caad.</t>
  </si>
  <si>
    <t xml:space="preserve">SEC-C3</t>
  </si>
  <si>
    <t xml:space="preserve">No brute-force protection on any authentication endpoint; failed-login counter never enforced</t>
  </si>
  <si>
    <t xml:space="preserve">Limiters on all 11 credential surfaces across 3 tiers, AND the failed-login counter is now enforced as a decaying cooldown (migration 0495). 7 assertions on the curve.</t>
  </si>
  <si>
    <t xml:space="preserve">SEC-H1</t>
  </si>
  <si>
    <t xml:space="preserve">The AI assistant executes business writes with no permission check at all</t>
  </si>
  <si>
    <t xml:space="preserve">High</t>
  </si>
  <si>
    <t xml:space="preserve">Code</t>
  </si>
  <si>
    <t xml:space="preserve">Open</t>
  </si>
  <si>
    <t xml:space="preserve">As reported</t>
  </si>
  <si>
    <t xml:space="preserve">SEC-H2</t>
  </si>
  <si>
    <t xml:space="preserve">Platform Console credential-store routes have no capability gate</t>
  </si>
  <si>
    <t xml:space="preserve">requireCap on all 8 routes; settings.read/write + migration 0032; structural test asserts all 47 platform routes are gated.</t>
  </si>
  <si>
    <t xml:space="preserve">SEC-H3</t>
  </si>
  <si>
    <t xml:space="preserve">Request-body keys become SQL column identifiers on modules using the passthrough validator</t>
  </si>
  <si>
    <t xml:space="preserve">SEC-H4</t>
  </si>
  <si>
    <t xml:space="preserve">MOD-67 'edit' can take over any account, including the CEO, with no re-authentication</t>
  </si>
  <si>
    <t xml:space="preserve">SEC-H5</t>
  </si>
  <si>
    <t xml:space="preserve">Rate limiting is bypassable: trust proxy true with an IP-keyed in-memory store</t>
  </si>
  <si>
    <t xml:space="preserve">Config + code</t>
  </si>
  <si>
    <t xml:space="preserve">Redis-backed limiter store; trust proxy is now a hop count (TRUST_PROXY_HOPS), not `true`.</t>
  </si>
  <si>
    <t xml:space="preserve">SEC-H6</t>
  </si>
  <si>
    <t xml:space="preserve">Portal and platform accounts protected by an 8-char password, no complexity or breach check</t>
  </si>
  <si>
    <t xml:space="preserve">SEC-M1</t>
  </si>
  <si>
    <t xml:space="preserve">Access tokens are not session-bound: revocation does not revoke</t>
  </si>
  <si>
    <t xml:space="preserve">Medium</t>
  </si>
  <si>
    <t xml:space="preserve">SEC-M2</t>
  </si>
  <si>
    <t xml:space="preserve">killSession has no ownership predicate</t>
  </si>
  <si>
    <t xml:space="preserve">killSession is now always scoped to the acting user. Folded into the SEC-C2 fix. Commit 809caad.</t>
  </si>
  <si>
    <t xml:space="preserve">SEC-M3</t>
  </si>
  <si>
    <t xml:space="preserve">Document vault authorization is module-level, not record-level</t>
  </si>
  <si>
    <t xml:space="preserve">SEC-M4</t>
  </si>
  <si>
    <t xml:space="preserve">The Socket.IO handshake lets the client name its own tenant</t>
  </si>
  <si>
    <t xml:space="preserve">SEC-M5</t>
  </si>
  <si>
    <t xml:space="preserve">One JWT secret across all three auth tiers, and no tenant claim in any token</t>
  </si>
  <si>
    <t xml:space="preserve">Structural</t>
  </si>
  <si>
    <t xml:space="preserve">SEC-M6</t>
  </si>
  <si>
    <t xml:space="preserve">Platform tier has no session store, no revocation and no 2FA</t>
  </si>
  <si>
    <t xml:space="preserve">SEC-M7</t>
  </si>
  <si>
    <t xml:space="preserve">One database credential and one encryption key shared across all tenants</t>
  </si>
  <si>
    <t xml:space="preserve">SEC-M8</t>
  </si>
  <si>
    <t xml:space="preserve">CSP permits unsafe-inline scripts application-wide</t>
  </si>
  <si>
    <t xml:space="preserve">Config</t>
  </si>
  <si>
    <t xml:space="preserve">server.js: script-src ['self','unsafe-inline'], script-src-attr ['unsafe-inline']</t>
  </si>
  <si>
    <t xml:space="preserve">SEC-M9</t>
  </si>
  <si>
    <t xml:space="preserve">Dependency vulnerabilities present, gate non-blocking, no SAST or Dependabot</t>
  </si>
  <si>
    <t xml:space="preserve">CI</t>
  </si>
  <si>
    <t xml:space="preserve">ci.yaml:79 continue-on-error: true on npm audit</t>
  </si>
  <si>
    <t xml:space="preserve">SEC-L1</t>
  </si>
  <si>
    <t xml:space="preserve">Containers run as root; compose bind-mounts the document vault into them</t>
  </si>
  <si>
    <t xml:space="preserve">Low</t>
  </si>
  <si>
    <t xml:space="preserve">Config, quick</t>
  </si>
  <si>
    <t xml:space="preserve">SEC-L2</t>
  </si>
  <si>
    <t xml:space="preserve">Redis unauthenticated and keyspace not tenant-namespaced; invalidateGrants uses blocking KEYS</t>
  </si>
  <si>
    <t xml:space="preserve">SEC-L3</t>
  </si>
  <si>
    <t xml:space="preserve">Refresh token in web storage</t>
  </si>
  <si>
    <t xml:space="preserve">Code (blocked by M8, C2)</t>
  </si>
  <si>
    <t xml:space="preserve">SEC-L4</t>
  </si>
  <si>
    <t xml:space="preserve">Logger redaction misses refresh_token, access_token, password_hash, totp_secret_enc, secret_enc</t>
  </si>
  <si>
    <t xml:space="preserve">REDACT_PATHS widened; both top-level and nested forms generated from SENSITIVE_KEYS.</t>
  </si>
  <si>
    <t xml:space="preserve">SEC-L5</t>
  </si>
  <si>
    <t xml:space="preserve">The anonymous-surface test is shallow - matches authMiddleware anywhere in the router</t>
  </si>
  <si>
    <t xml:space="preserve">Test, quick</t>
  </si>
  <si>
    <t xml:space="preserve">SEC-L6</t>
  </si>
  <si>
    <t xml:space="preserve">src/middleware/audit.js is dead code, never imported or mounted</t>
  </si>
  <si>
    <t xml:space="preserve">Delete</t>
  </si>
  <si>
    <t xml:space="preserve">DI-5.5</t>
  </si>
  <si>
    <t xml:space="preserve">Data Integrity</t>
  </si>
  <si>
    <t xml:space="preserve">Asset depreciation never posts to the GL and records itself as posted</t>
  </si>
  <si>
    <t xml:space="preserve">Depreciation now reaches the GL: account_code + sourceDocRef, and a ledger rejection FAILS the call instead of setting posted=true with entry_id NULL. 11 assertions, verified to FAIL against the pre-fix file. Sweep found only asset+payroll; a grep-as-a-test blocks a third. Commit 62a9646. NOTE: existing bad rows need scripts/db/reconcile-depreciation.js.</t>
  </si>
  <si>
    <t xml:space="preserve">DI-5.1</t>
  </si>
  <si>
    <t xml:space="preserve">Inventory balance: no transaction, no lock, no DB floor</t>
  </si>
  <si>
    <t xml:space="preserve">Code + constraint</t>
  </si>
  <si>
    <t xml:space="preserve">DI-5.2</t>
  </si>
  <si>
    <t xml:space="preserve">Shared CRUD kit writes business row, event and audit as three separate commits</t>
  </si>
  <si>
    <t xml:space="preserve">Code, mechanical</t>
  </si>
  <si>
    <t xml:space="preserve">DI-1.1</t>
  </si>
  <si>
    <t xml:space="preserve">~100 money/quantity columns with no CHECK constraint</t>
  </si>
  <si>
    <t xml:space="preserve">Migration + data probe</t>
  </si>
  <si>
    <t xml:space="preserve">DI-1.2</t>
  </si>
  <si>
    <t xml:space="preserve">No cross-row sum invariants (over-allocation, over-justification)</t>
  </si>
  <si>
    <t xml:space="preserve">DI-2.1</t>
  </si>
  <si>
    <t xml:space="preserve">ON DELETE CASCADE on financial and inventory history</t>
  </si>
  <si>
    <t xml:space="preserve">Migration, careful</t>
  </si>
  <si>
    <t xml:space="preserve">DI-1.3</t>
  </si>
  <si>
    <t xml:space="preserve">Multi-currency ledger lines are stored but never reconciled to a base currency</t>
  </si>
  <si>
    <t xml:space="preserve">Migration + code</t>
  </si>
  <si>
    <t xml:space="preserve">DI-1.6</t>
  </si>
  <si>
    <t xml:space="preserve">doc_number is not unique anywhere</t>
  </si>
  <si>
    <t xml:space="preserve">Migration + dedupe</t>
  </si>
  <si>
    <t xml:space="preserve">DI-1.8</t>
  </si>
  <si>
    <t xml:space="preserve">tax_code effective windows can overlap, producing wrong VAT silently</t>
  </si>
  <si>
    <t xml:space="preserve">DI-1.9</t>
  </si>
  <si>
    <t xml:space="preserve">cached_receivables read but never written; credit limit inert</t>
  </si>
  <si>
    <t xml:space="preserve">DI-2.2</t>
  </si>
  <si>
    <t xml:space="preserve">295 of 351 foreign keys have no index on the referencing column</t>
  </si>
  <si>
    <t xml:space="preserve">Migration, online</t>
  </si>
  <si>
    <t xml:space="preserve">DI-2.4</t>
  </si>
  <si>
    <t xml:space="preserve">Sandbox actor-FK guard applied inconsistently</t>
  </si>
  <si>
    <t xml:space="preserve">Code + design</t>
  </si>
  <si>
    <t xml:space="preserve">DI-3.1</t>
  </si>
  <si>
    <t xml:space="preserve">Migration application is not atomic with its ledger entry</t>
  </si>
  <si>
    <t xml:space="preserve">Tooling</t>
  </si>
  <si>
    <t xml:space="preserve">DI-3.2</t>
  </si>
  <si>
    <t xml:space="preserve">A partial fleet upgrade leaves tenants on different schema versions</t>
  </si>
  <si>
    <t xml:space="preserve">DI-3.3</t>
  </si>
  <si>
    <t xml:space="preserve">Migration files and the live schema have already drifted (notification_preference)</t>
  </si>
  <si>
    <t xml:space="preserve">Verify + tooling</t>
  </si>
  <si>
    <t xml:space="preserve">DI-3.5</t>
  </si>
  <si>
    <t xml:space="preserve">No migration is reversible; no down concept exists in the tooling</t>
  </si>
  <si>
    <t xml:space="preserve">Policy</t>
  </si>
  <si>
    <t xml:space="preserve">Partially fixed</t>
  </si>
  <si>
    <t xml:space="preserve">New migrations must declare -- DOWN or -- IRREVERSIBLE (CI gate). The 92 pre-existing migrations are still irreversible and deliberately not retro-fitted.</t>
  </si>
  <si>
    <t xml:space="preserve">DI-5.3</t>
  </si>
  <si>
    <t xml:space="preserve">Receipt allocation reads unlocked and can over-allocate</t>
  </si>
  <si>
    <t xml:space="preserve">DI-5.4</t>
  </si>
  <si>
    <t xml:space="preserve">Tax-code supersession splits across two transactions</t>
  </si>
  <si>
    <t xml:space="preserve">DI-6.2</t>
  </si>
  <si>
    <t xml:space="preserve">Audit tamper-evidence chain declared but before_hash/after_hash never populated</t>
  </si>
  <si>
    <t xml:space="preserve">DI-6.3</t>
  </si>
  <si>
    <t xml:space="preserve">Financial and inventory mutations audited inconsistently; depends on service discipline</t>
  </si>
  <si>
    <t xml:space="preserve">Code + triggers</t>
  </si>
  <si>
    <t xml:space="preserve">DI-6.4</t>
  </si>
  <si>
    <t xml:space="preserve">stock_movement is mutable, cascade-deleted, and can be incomplete - no audit trail</t>
  </si>
  <si>
    <t xml:space="preserve">Migration</t>
  </si>
  <si>
    <t xml:space="preserve">DI-7.1</t>
  </si>
  <si>
    <t xml:space="preserve">Missing uniqueness on document numbers and payment allocations</t>
  </si>
  <si>
    <t xml:space="preserve">DI-1.4</t>
  </si>
  <si>
    <t xml:space="preserve">currency typing inconsistent - 8 columns FK to currency(code), 9 identical ones do not</t>
  </si>
  <si>
    <t xml:space="preserve">DI-1.5</t>
  </si>
  <si>
    <t xml:space="preserve">chart_of_accounts and other self-referencing hierarchies have no cycle guard</t>
  </si>
  <si>
    <t xml:space="preserve">DI-2.3</t>
  </si>
  <si>
    <t xml:space="preserve">No ON UPDATE clause on any foreign key</t>
  </si>
  <si>
    <t xml:space="preserve">Decision</t>
  </si>
  <si>
    <t xml:space="preserve">DI-3.4</t>
  </si>
  <si>
    <t xml:space="preserve">Duplicate migration numbers - correctly diagnosed and correctly left alone</t>
  </si>
  <si>
    <t xml:space="preserve">Prevention only</t>
  </si>
  <si>
    <t xml:space="preserve">DI-3.6</t>
  </si>
  <si>
    <t xml:space="preserve">EXCEPTION WHEN OTHERS THEN NULL in data-seeding migrations 0467/0468</t>
  </si>
  <si>
    <t xml:space="preserve">Forward-fix</t>
  </si>
  <si>
    <t xml:space="preserve">DI-4.1</t>
  </si>
  <si>
    <t xml:space="preserve">The RLS apparatus references a migration that does not exist</t>
  </si>
  <si>
    <t xml:space="preserve">Remove or implement</t>
  </si>
  <si>
    <t xml:space="preserve">DI-4.2</t>
  </si>
  <si>
    <t xml:space="preserve">32 references to a non-existent shared.* schema</t>
  </si>
  <si>
    <t xml:space="preserve">Remove</t>
  </si>
  <si>
    <t xml:space="preserve">DI-5.6</t>
  </si>
  <si>
    <t xml:space="preserve">Tenant provisioning and sandbox wipe are not transactional</t>
  </si>
  <si>
    <t xml:space="preserve">DI-6.5</t>
  </si>
  <si>
    <t xml:space="preserve">Silent overwrite of financial figures; locked documents protected only in the service layer</t>
  </si>
  <si>
    <t xml:space="preserve">DI-7.2</t>
  </si>
  <si>
    <t xml:space="preserve">Missing indexes on columns that gate correctness-critical queries</t>
  </si>
  <si>
    <t xml:space="preserve">DI-1.7</t>
  </si>
  <si>
    <t xml:space="preserve">The section 23.14 dictionary invariant is one-directional</t>
  </si>
  <si>
    <t xml:space="preserve">OBS-A2</t>
  </si>
  <si>
    <t xml:space="preserve">Observability</t>
  </si>
  <si>
    <t xml:space="preserve">The health check is structurally incapable of failing - and it is the deploy gate</t>
  </si>
  <si>
    <t xml:space="preserve">Quick win</t>
  </si>
  <si>
    <t xml:space="preserve">/api/health/ready probes Postgres+Redis, 503s honestly. Verified with the DB down.</t>
  </si>
  <si>
    <t xml:space="preserve">OBS-A1</t>
  </si>
  <si>
    <t xml:space="preserve">There is no alerting. At all.</t>
  </si>
  <si>
    <t xml:space="preserve">Repo side wired + loud boot warning. MONITOR AND WEBHOOK CONFIGURED BY OWNER 2026-08-04.</t>
  </si>
  <si>
    <t xml:space="preserve">OBS-A3</t>
  </si>
  <si>
    <t xml:space="preserve">Redis outage boots the app silently degraded</t>
  </si>
  <si>
    <t xml:space="preserve">OBS-A6</t>
  </si>
  <si>
    <t xml:space="preserve">Dead-lettered business events are a silent black hole</t>
  </si>
  <si>
    <t xml:space="preserve">OBS-E1</t>
  </si>
  <si>
    <t xml:space="preserve">No centralised error tracking of any kind</t>
  </si>
  <si>
    <t xml:space="preserve">shared/observability/error-reporter.js — every 5xx, uncaughtException and unhandledRejection reports with tenant/user/request_id/route/build. Dedupe + id normalisation + frame-drift stability + 20/min ceiling so the channel stays usable. 4xx and ZodError never reported. Commit e78a566.</t>
  </si>
  <si>
    <t xml:space="preserve">OBS-E2</t>
  </si>
  <si>
    <t xml:space="preserve">Frontend errors are completely invisible</t>
  </si>
  <si>
    <t xml:space="preserve">POST /api/client-errors + client/src/lib/error-reporting.ts covering render, window 'error' and unhandledrejection. ErrorBoundary's dead onError hook now reports by default. sendBeacon survives the post-crash reload. Commit e78a566.</t>
  </si>
  <si>
    <t xml:space="preserve">OBS-L1</t>
  </si>
  <si>
    <t xml:space="preserve">No HTTP access log exists at all - pino-http is a dependency, mounted nowhere</t>
  </si>
  <si>
    <t xml:space="preserve">pino-http mounted.</t>
  </si>
  <si>
    <t xml:space="preserve">OBS-L2</t>
  </si>
  <si>
    <t xml:space="preserve">The money path is entirely log-silent - zero logger calls in finance or accounting</t>
  </si>
  <si>
    <t xml:space="preserve">OBS-L3</t>
  </si>
  <si>
    <t xml:space="preserve">Almost no log line carries tenant or user, though AsyncLocalStorage already holds both</t>
  </si>
  <si>
    <t xml:space="preserve">pino mixin injects tenant+user into ALL ~120 call sites with zero edits; auth.js back-fills the user the context captured as null.</t>
  </si>
  <si>
    <t xml:space="preserve">OBS-M1</t>
  </si>
  <si>
    <t xml:space="preserve">No metrics of any kind, no dashboard, no baseline</t>
  </si>
  <si>
    <t xml:space="preserve">OBS-T1</t>
  </si>
  <si>
    <t xml:space="preserve">Reconstructing one failed request is effectively impossible</t>
  </si>
  <si>
    <t xml:space="preserve">Phases 2+4</t>
  </si>
  <si>
    <t xml:space="preserve">OBS-I1</t>
  </si>
  <si>
    <t xml:space="preserve">No runbook, no on-call, no incident process</t>
  </si>
  <si>
    <t xml:space="preserve">Process</t>
  </si>
  <si>
    <t xml:space="preserve">OBS-I2</t>
  </si>
  <si>
    <t xml:space="preserve">No rollback procedure and no artifact to roll back to</t>
  </si>
  <si>
    <t xml:space="preserve">Images tagged by commit and retained; scripts/rollback.sh added.</t>
  </si>
  <si>
    <t xml:space="preserve">OBS-A4</t>
  </si>
  <si>
    <t xml:space="preserve">No restart: policy on any service</t>
  </si>
  <si>
    <t xml:space="preserve">restart: unless-stopped on all five services; migrate stays 'no'.</t>
  </si>
  <si>
    <t xml:space="preserve">OBS-A5</t>
  </si>
  <si>
    <t xml:space="preserve">The worker is entirely unmonitored</t>
  </si>
  <si>
    <t xml:space="preserve">OBS-E3</t>
  </si>
  <si>
    <t xml:space="preserve">The correlation ID is minted, then thrown away; persisted nowhere</t>
  </si>
  <si>
    <t xml:space="preserve">Quick / Medium</t>
  </si>
  <si>
    <t xml:space="preserve">OBS-E4</t>
  </si>
  <si>
    <t xml:space="preserve">uncaughtException keeps a poisoned process alive</t>
  </si>
  <si>
    <t xml:space="preserve">Process now exits on uncaughtException; paired with OBS-A4.</t>
  </si>
  <si>
    <t xml:space="preserve">OBS-L4</t>
  </si>
  <si>
    <t xml:space="preserve">Sensitive data leaking into logs, including row values via pg err.detail</t>
  </si>
  <si>
    <t xml:space="preserve">Same fix as SEC-L4, incl. pg err.detail. Landed BEFORE any log shipping.</t>
  </si>
  <si>
    <t xml:space="preserve">OBS-L7</t>
  </si>
  <si>
    <t xml:space="preserve">Logs are neither durable nor shipped; lost on every deploy</t>
  </si>
  <si>
    <t xml:space="preserve">OBS-M2</t>
  </si>
  <si>
    <t xml:space="preserve">Business metrics unobservable though the data already exists</t>
  </si>
  <si>
    <t xml:space="preserve">OBS-T2</t>
  </si>
  <si>
    <t xml:space="preserve">No timing recorded anywhere</t>
  </si>
  <si>
    <t xml:space="preserve">Response time on every access-log line.</t>
  </si>
  <si>
    <t xml:space="preserve">OBS-T4</t>
  </si>
  <si>
    <t xml:space="preserve">Auth, RBAC and tenant middleware log nothing</t>
  </si>
  <si>
    <t xml:space="preserve">OBS-I3</t>
  </si>
  <si>
    <t xml:space="preserve">Migrations have no rollback path and run before the app rolls; no automated backup</t>
  </si>
  <si>
    <t xml:space="preserve">OBS-I4</t>
  </si>
  <si>
    <t xml:space="preserve">The deploy has no real smoke test and no auto-rollback</t>
  </si>
  <si>
    <t xml:space="preserve">Smoke test can now fail and the deploy exits non-zero. Auto-rollback NOT wired — rollback.sh has never been executed, and automating an unproven recovery path is worse than manual.</t>
  </si>
  <si>
    <t xml:space="preserve">OBS-I6</t>
  </si>
  <si>
    <t xml:space="preserve">Single-host topology with no capacity signal</t>
  </si>
  <si>
    <t xml:space="preserve">Deeper</t>
  </si>
  <si>
    <t xml:space="preserve">OBS-A7</t>
  </si>
  <si>
    <t xml:space="preserve">Failed BullMQ jobs accumulate unwatched</t>
  </si>
  <si>
    <t xml:space="preserve">OBS-L5</t>
  </si>
  <si>
    <t xml:space="preserve">Level discipline inverted - real failures logged at warn, stacks discarded</t>
  </si>
  <si>
    <t xml:space="preserve">OBS-L6</t>
  </si>
  <si>
    <t xml:space="preserve">The runbook documents a log location that does not exist</t>
  </si>
  <si>
    <t xml:space="preserve">OBS-M3</t>
  </si>
  <si>
    <t xml:space="preserve">Slow queries warn but are never measured</t>
  </si>
  <si>
    <t xml:space="preserve">OBS-T3</t>
  </si>
  <si>
    <t xml:space="preserve">No cross-process correlation into workers</t>
  </si>
  <si>
    <t xml:space="preserve">OBS-I5</t>
  </si>
  <si>
    <t xml:space="preserve">Deploys are unattributed and unannounced</t>
  </si>
  <si>
    <t xml:space="preserve">Build identity + deploy announcements to ALERT_WEBHOOK_URL on start/success/failure.</t>
  </si>
  <si>
    <t xml:space="preserve">API-F1</t>
  </si>
  <si>
    <t xml:space="preserve">API Contract</t>
  </si>
  <si>
    <t xml:space="preserve">Eighteen deliberate client errors are returned to consumers as 500 INTERNAL_ERROR</t>
  </si>
  <si>
    <t xml:space="preserve">Code (BC)</t>
  </si>
  <si>
    <t xml:space="preserve">error-handler honours err.status for 4xx; thrown 5xx still flattens to a generic 500. Fixed BEFORE alerting went live.</t>
  </si>
  <si>
    <t xml:space="preserve">API-F6</t>
  </si>
  <si>
    <t xml:space="preserve">Two unrelated resources share the base path /inbound</t>
  </si>
  <si>
    <t xml:space="preserve">sales/inbound_intake moved to /intake; 4 client callers updated; waiver list now empty and the boot guard is unconditional. BREAKING.</t>
  </si>
  <si>
    <t xml:space="preserve">API-F18</t>
  </si>
  <si>
    <t xml:space="preserve">There is no versioning of any kind - no prefix, header, sunset or deprecation mechanism</t>
  </si>
  <si>
    <t xml:space="preserve">API-F20</t>
  </si>
  <si>
    <t xml:space="preserve">Platform secret management has no capability check (8 routes)</t>
  </si>
  <si>
    <t xml:space="preserve">Same fix as SEC-H2.</t>
  </si>
  <si>
    <t xml:space="preserve">API-F30</t>
  </si>
  <si>
    <t xml:space="preserve">There is no mechanism that would catch a contract regression</t>
  </si>
  <si>
    <t xml:space="preserve">CI + test</t>
  </si>
  <si>
    <t xml:space="preserve">API-F2</t>
  </si>
  <si>
    <t xml:space="preserve">Three different response shapes for 'your input was invalid'</t>
  </si>
  <si>
    <t xml:space="preserve">API-F15</t>
  </si>
  <si>
    <t xml:space="preserve">60 write routes accept an unvalidated body (17% of writes)</t>
  </si>
  <si>
    <t xml:space="preserve">API-F16</t>
  </si>
  <si>
    <t xml:space="preserve">Query and path parameters are almost never validated</t>
  </si>
  <si>
    <t xml:space="preserve">API-F19</t>
  </si>
  <si>
    <t xml:space="preserve">Modules can vanish from the API without any error</t>
  </si>
  <si>
    <t xml:space="preserve">Additive</t>
  </si>
  <si>
    <t xml:space="preserve">Skipped modules recorded, logged at error, and surfaced on /api/health/ready.</t>
  </si>
  <si>
    <t xml:space="preserve">API-F21</t>
  </si>
  <si>
    <t xml:space="preserve">Structurally identical lifecycle endpoints require different permissions</t>
  </si>
  <si>
    <t xml:space="preserve">API-F25</t>
  </si>
  <si>
    <t xml:space="preserve">No API spec exists; the one artefact that does is 19% complete and has drifted</t>
  </si>
  <si>
    <t xml:space="preserve">Docs</t>
  </si>
  <si>
    <t xml:space="preserve">API-F26</t>
  </si>
  <si>
    <t xml:space="preserve">No list endpoint reports a total, so no consumer can paginate</t>
  </si>
  <si>
    <t xml:space="preserve">TOTAL_COL/splitTotal added in query-helpers.js and wired into 4 finance repos (final_invoice, journal_entry, proforma, smart_receivables) via commit 9c5337d, surfaced as X-Total-Count. 198 of 202 collection GETs still return a bare array</t>
  </si>
  <si>
    <t xml:space="preserve">API-F27</t>
  </si>
  <si>
    <t xml:space="preserve">17 list endpoints have no LIMIT at all, including /sessions and /permissions</t>
  </si>
  <si>
    <t xml:space="preserve">API-F3</t>
  </si>
  <si>
    <t xml:space="preserve">Middleware-level errors omit request_id</t>
  </si>
  <si>
    <t xml:space="preserve">API-F4</t>
  </si>
  <si>
    <t xml:space="preserve">A platform-host request to the tenant API returns 500</t>
  </si>
  <si>
    <t xml:space="preserve">API-F7</t>
  </si>
  <si>
    <t xml:space="preserve">/portal and /portals are different products</t>
  </si>
  <si>
    <t xml:space="preserve">API-F8</t>
  </si>
  <si>
    <t xml:space="preserve">Resource-name pluralisation is ~63/37</t>
  </si>
  <si>
    <t xml:space="preserve">API-F9</t>
  </si>
  <si>
    <t xml:space="preserve">Module-to-URL mapping is not derivable, and three modules claim the tenant root</t>
  </si>
  <si>
    <t xml:space="preserve">API-F10</t>
  </si>
  <si>
    <t xml:space="preserve">Grouping depth is arbitrary</t>
  </si>
  <si>
    <t xml:space="preserve">API-F11</t>
  </si>
  <si>
    <t xml:space="preserve">Two idioms for the same operation: lifecycle transitions</t>
  </si>
  <si>
    <t xml:space="preserve">API-F12</t>
  </si>
  <si>
    <t xml:space="preserve">DELETE means two different things (hard delete vs soft archive)</t>
  </si>
  <si>
    <t xml:space="preserve">API-F17</t>
  </si>
  <si>
    <t xml:space="preserve">PATCH bodies are create.partial(), so every writable field is patchable</t>
  </si>
  <si>
    <t xml:space="preserve">API-F22</t>
  </si>
  <si>
    <t xml:space="preserve">In Smart Comms, 'view' authorises writes</t>
  </si>
  <si>
    <t xml:space="preserve">API-F23</t>
  </si>
  <si>
    <t xml:space="preserve">Authenticated-but-ungated endpoints are correct, but undeclared</t>
  </si>
  <si>
    <t xml:space="preserve">API-F28</t>
  </si>
  <si>
    <t xml:space="preserve">Filtering is undeclared, per-repo, and silently ignores typos</t>
  </si>
  <si>
    <t xml:space="preserve">Docs + code (BC)</t>
  </si>
  <si>
    <t xml:space="preserve">API-F29</t>
  </si>
  <si>
    <t xml:space="preserve">Sorting is not exposed anywhere</t>
  </si>
  <si>
    <t xml:space="preserve">API-F5</t>
  </si>
  <si>
    <t xml:space="preserve">188 error codes, no registry</t>
  </si>
  <si>
    <t xml:space="preserve">API-F13</t>
  </si>
  <si>
    <t xml:space="preserve">Identity in the body instead of the URL, and inverted nesting</t>
  </si>
  <si>
    <t xml:space="preserve">API-F14</t>
  </si>
  <si>
    <t xml:space="preserve">Reads that are POSTs, and one read that writes</t>
  </si>
  <si>
    <t xml:space="preserve">API-F24</t>
  </si>
  <si>
    <t xml:space="preserve">Unauthenticated routes - reviewed, all justified</t>
  </si>
  <si>
    <t xml:space="preserve">No action (positive finding)</t>
  </si>
  <si>
    <t xml:space="preserve">Closed</t>
  </si>
  <si>
    <t xml:space="preserve">PERF-S1</t>
  </si>
  <si>
    <t xml:space="preserve">Perf &amp; Architecture</t>
  </si>
  <si>
    <t xml:space="preserve">Tenant connection model caps the product at ~12 active tenants per API process</t>
  </si>
  <si>
    <t xml:space="preserve">registry.service.js:78 one pg.Pool per tenant, max = TENANT_POOL_MAX (env.js:66 default 8); unbounded Map, no eviction, no PgBouncer</t>
  </si>
  <si>
    <t xml:space="preserve">PERF-S2</t>
  </si>
  <si>
    <t xml:space="preserve">Three pool checkouts and three SET search_path round-trips per request</t>
  </si>
  <si>
    <t xml:space="preserve">PERF-S3</t>
  </si>
  <si>
    <t xml:space="preserve">123 of 126 tables sort by an unindexed created_at - 462x speedup available</t>
  </si>
  <si>
    <t xml:space="preserve">Migration 0496 adds a created_at index to all 127 tenant tables that declare one (DDL-parsed: zero were indexed). Measured 462x. Plain CREATE INDEX because the migrator's multi-statement query is an implicit transaction block, where CONCURRENTLY cannot run. Targets verified against the DDL — but NOT YET EXECUTED. Commit 537a4af.</t>
  </si>
  <si>
    <t xml:space="preserve">PERF-S4</t>
  </si>
  <si>
    <t xml:space="preserve">Per-request recursive CTE over an unindexed tree (scope.parent_scope_id)</t>
  </si>
  <si>
    <t xml:space="preserve">Quick + structural</t>
  </si>
  <si>
    <t xml:space="preserve">PERF-S5</t>
  </si>
  <si>
    <t xml:space="preserve">Notification fan-out is an N+1 inside the business transaction</t>
  </si>
  <si>
    <t xml:space="preserve">PERF-S6</t>
  </si>
  <si>
    <t xml:space="preserve">Every write pays 4-6 extra sequential round-trips</t>
  </si>
  <si>
    <t xml:space="preserve">PERF-S7</t>
  </si>
  <si>
    <t xml:space="preserve">No HTTP compression anywhere in the stack</t>
  </si>
  <si>
    <t xml:space="preserve">PERF-S8</t>
  </si>
  <si>
    <t xml:space="preserve">The entire frontend loads on first paint; code splitting is cosmetic</t>
  </si>
  <si>
    <t xml:space="preserve">PERF-S9</t>
  </si>
  <si>
    <t xml:space="preserve">invalidateGrants() blocks Redis and flushes every tenant</t>
  </si>
  <si>
    <t xml:space="preserve">PERF-S10</t>
  </si>
  <si>
    <t xml:space="preserve">hostCache is unbounded and keyed by attacker-controlled input</t>
  </si>
  <si>
    <t xml:space="preserve">PERF-S11</t>
  </si>
  <si>
    <t xml:space="preserve">13 BullMQ workers share a single Redis connection</t>
  </si>
  <si>
    <t xml:space="preserve">PERF-S12</t>
  </si>
  <si>
    <t xml:space="preserve">Socket.IO has no Redis adapter - realtime is single-process only</t>
  </si>
  <si>
    <t xml:space="preserve">PERF-S13</t>
  </si>
  <si>
    <t xml:space="preserve">A full Chromium process is spawned per PDF</t>
  </si>
  <si>
    <t xml:space="preserve">PERF-S14</t>
  </si>
  <si>
    <t xml:space="preserve">Context providers defeat memoization app-wide</t>
  </si>
  <si>
    <t xml:space="preserve">PERF-S15</t>
  </si>
  <si>
    <t xml:space="preserve">No client-side request cache; unconditional refetch and background polling</t>
  </si>
  <si>
    <t xml:space="preserve">PERF-S16</t>
  </si>
  <si>
    <t xml:space="preserve">Leading-wildcard ILIKE search guarantees a full scan</t>
  </si>
  <si>
    <t xml:space="preserve">PERF-S17</t>
  </si>
  <si>
    <t xml:space="preserve">OFFSET pagination degrades and spills to disk</t>
  </si>
  <si>
    <t xml:space="preserve">Structural (BC)</t>
  </si>
  <si>
    <t xml:space="preserve">PERF-S18</t>
  </si>
  <si>
    <t xml:space="preserve">No global rate limiting - noisy-neighbour risk across tenants</t>
  </si>
  <si>
    <t xml:space="preserve">PERF-S19</t>
  </si>
  <si>
    <t xml:space="preserve">50 repos hand-roll an SQL builder that already exists</t>
  </si>
  <si>
    <t xml:space="preserve">PERF-S20</t>
  </si>
  <si>
    <t xml:space="preserve">SQL identifiers are interpolated from object keys with no enforcement</t>
  </si>
  <si>
    <t xml:space="preserve">TC-C1</t>
  </si>
  <si>
    <t xml:space="preserve">Test &amp; CI/CD</t>
  </si>
  <si>
    <t xml:space="preserve">Multi-tenant isolation (registry.service.js) - 0 of 10 functions covered</t>
  </si>
  <si>
    <t xml:space="preserve">TC-C2</t>
  </si>
  <si>
    <t xml:space="preserve">authMiddleware() uncovered; the patched token-replay fix has no regression test</t>
  </si>
  <si>
    <t xml:space="preserve">Quick</t>
  </si>
  <si>
    <t xml:space="preserve">TC-C3</t>
  </si>
  <si>
    <t xml:space="preserve">rbacCheck() and ceoCheck() uncovered - enforcement paths never run in a test</t>
  </si>
  <si>
    <t xml:space="preserve">TC-C4</t>
  </si>
  <si>
    <t xml:space="preserve">identity-cache.js - 0 of 31 functions; grants, scope closure, invalidation</t>
  </si>
  <si>
    <t xml:space="preserve">TC-D1</t>
  </si>
  <si>
    <t xml:space="preserve">No rollback; docker image prune -f destroys the previous build</t>
  </si>
  <si>
    <t xml:space="preserve">docker image prune no longer destroys the previous build; KEEP_IMAGES deep.</t>
  </si>
  <si>
    <t xml:space="preserve">TC-D2</t>
  </si>
  <si>
    <t xml:space="preserve">Migrations run pre-roll, no backup, zero down-migrations</t>
  </si>
  <si>
    <t xml:space="preserve">Quick / process</t>
  </si>
  <si>
    <t xml:space="preserve">pg_dump before migrations, fatal if it fails; reversibility convention + CI gate for new migrations.</t>
  </si>
  <si>
    <t xml:space="preserve">TC-CI1</t>
  </si>
  <si>
    <t xml:space="preserve">main is unprotected; 45% direct pushes; each green push auto-deploys</t>
  </si>
  <si>
    <t xml:space="preserve">TC-C5</t>
  </si>
  <si>
    <t xml:space="preserve">Money services 0% function coverage; only the rules layer is tested</t>
  </si>
  <si>
    <t xml:space="preserve">TC-C6</t>
  </si>
  <si>
    <t xml:space="preserve">All 4 integration suites permanently skipped - 11 tests dark in CI</t>
  </si>
  <si>
    <t xml:space="preserve">TC-C7</t>
  </si>
  <si>
    <t xml:space="preserve">WMS/inventory 7.3% functions - no unit or integration coverage</t>
  </si>
  <si>
    <t xml:space="preserve">TC-C8</t>
  </si>
  <si>
    <t xml:space="preserve">Orchestration outbox 0% - at-least-once idempotency unverified</t>
  </si>
  <si>
    <t xml:space="preserve">TC-C9</t>
  </si>
  <si>
    <t xml:space="preserve">Platform / tenant-provisioning surface 0%</t>
  </si>
  <si>
    <t xml:space="preserve">TC-C10</t>
  </si>
  <si>
    <t xml:space="preserve">Portal auth (external, customer-facing) 3.2% functions</t>
  </si>
  <si>
    <t xml:space="preserve">Quick / deeper</t>
  </si>
  <si>
    <t xml:space="preserve">TC-C12</t>
  </si>
  <si>
    <t xml:space="preserve">No API-level or E2E test; the middleware chain never runs as a chain</t>
  </si>
  <si>
    <t xml:space="preserve">TC-Q2</t>
  </si>
  <si>
    <t xml:space="preserve">refresh() untested; only its extracted predicate is</t>
  </si>
  <si>
    <t xml:space="preserve">TC-Q4</t>
  </si>
  <si>
    <t xml:space="preserve">The money-path test mocks away determination and GL posting</t>
  </si>
  <si>
    <t xml:space="preserve">TC-CI6</t>
  </si>
  <si>
    <t xml:space="preserve">Migrations are never executed in CI; the first run is production</t>
  </si>
  <si>
    <t xml:space="preserve">TC-CI7</t>
  </si>
  <si>
    <t xml:space="preserve">The built image is never started; boot failures reach deploy</t>
  </si>
  <si>
    <t xml:space="preserve">TC-CI8</t>
  </si>
  <si>
    <t xml:space="preserve">npm install not npm ci - CI does not test the dependency tree that gets deployed</t>
  </si>
  <si>
    <t xml:space="preserve">TC-D3</t>
  </si>
  <si>
    <t xml:space="preserve">migrateAllTenants has no containment; mixed-fleet state on failure</t>
  </si>
  <si>
    <t xml:space="preserve">TC-D4</t>
  </si>
  <si>
    <t xml:space="preserve">/api/health is shallow; the deploy gate cannot see a dead database</t>
  </si>
  <si>
    <t xml:space="preserve">Deploy gate now targets readiness, not liveness.</t>
  </si>
  <si>
    <t xml:space="preserve">TC-D5</t>
  </si>
  <si>
    <t xml:space="preserve">CI holds a long-lived (likely root) SSH session on production</t>
  </si>
  <si>
    <t xml:space="preserve">TC-D6</t>
  </si>
  <si>
    <t xml:space="preserve">No pre-production environment for builds (deliberate; the PRD contradicts it)</t>
  </si>
  <si>
    <t xml:space="preserve">TC-E1</t>
  </si>
  <si>
    <t xml:space="preserve">Production .env is hand-maintained and validated only at boot, post-migration</t>
  </si>
  <si>
    <t xml:space="preserve">TC-R2</t>
  </si>
  <si>
    <t xml:space="preserve">A running build cannot identify itself</t>
  </si>
  <si>
    <t xml:space="preserve">BUILD_SHA/BUILD_TIME baked into the image, surfaced on both health endpoints.</t>
  </si>
  <si>
    <t xml:space="preserve">TC-CI2</t>
  </si>
  <si>
    <t xml:space="preserve">main is red on 15% of runs; no always-deployable branch</t>
  </si>
  <si>
    <t xml:space="preserve">TC-C11</t>
  </si>
  <si>
    <t xml:space="preserve">Frontend suite is presentational only; money, permissions and Live/Test untested; platform-console at zero</t>
  </si>
  <si>
    <t xml:space="preserve">Partially addressed</t>
  </si>
  <si>
    <t xml:space="preserve">Client test files have grown from 3 to 15 since the audit; platform-console still at zero</t>
  </si>
  <si>
    <t xml:space="preserve">TC-Q1</t>
  </si>
  <si>
    <t xml:space="preserve">Coverage inflation - line coverage inflated by import-time execution</t>
  </si>
  <si>
    <t xml:space="preserve">TC-Q3</t>
  </si>
  <si>
    <t xml:space="preserve">Hand-rolled regex SQL fakes silently absorb query changes</t>
  </si>
  <si>
    <t xml:space="preserve">TC-Q6</t>
  </si>
  <si>
    <t xml:space="preserve">auth-coverage matches by function name; floor of 50 vs 100 modules</t>
  </si>
  <si>
    <t xml:space="preserve">TC-CI3</t>
  </si>
  <si>
    <t xml:space="preserve">Coverage is never measured in CI</t>
  </si>
  <si>
    <t xml:space="preserve">TC-CI5</t>
  </si>
  <si>
    <t xml:space="preserve">Security scanning is 5 regex patterns over the working tree only; no SAST</t>
  </si>
  <si>
    <t xml:space="preserve">Patterns widened (DB/SMTP/conn-string/more prefixes); -e bug fixed; false positives tightened.</t>
  </si>
  <si>
    <t xml:space="preserve">TC-CI10</t>
  </si>
  <si>
    <t xml:space="preserve">No backend type-check, and lint warnings never fail</t>
  </si>
  <si>
    <t xml:space="preserve">TC-D7</t>
  </si>
  <si>
    <t xml:space="preserve">The deployed tree is mutable and the deploy is not pinned to an artifact</t>
  </si>
  <si>
    <t xml:space="preserve">TC-D8</t>
  </si>
  <si>
    <t xml:space="preserve">CI has no concurrency group; trigger SHA != deployed SHA</t>
  </si>
  <si>
    <t xml:space="preserve">TC-E2</t>
  </si>
  <si>
    <t xml:space="preserve">Publicly known dev defaults, guarded only by NODE_ENV</t>
  </si>
  <si>
    <t xml:space="preserve">TC-E3</t>
  </si>
  <si>
    <t xml:space="preserve">No rotation story for anything; ENCRYPTION_KEY effectively unrotatable</t>
  </si>
  <si>
    <t xml:space="preserve">Medium-High</t>
  </si>
  <si>
    <t xml:space="preserve">TC-E4</t>
  </si>
  <si>
    <t xml:space="preserve">The secret scan is blind to git history; documented past exposure unverified</t>
  </si>
  <si>
    <t xml:space="preserve">Quick to check</t>
  </si>
  <si>
    <t xml:space="preserve">scripts/scan-history-secrets.sh. RUN: the Groq key spans 177 commits from 51b57ae (2026-07-06) to HEAD. Purge declined; rotation done instead.</t>
  </si>
  <si>
    <t xml:space="preserve">TC-R3</t>
  </si>
  <si>
    <t xml:space="preserve">Deploys are not traceable to commits</t>
  </si>
  <si>
    <t xml:space="preserve">TC-R1</t>
  </si>
  <si>
    <t xml:space="preserve">There are no releases, tags or changelog; version frozen at 0.1.0</t>
  </si>
  <si>
    <t xml:space="preserve">TC-Q5</t>
  </si>
  <si>
    <t xml:space="preserve">Registration-only tests read as behavioural coverage</t>
  </si>
  <si>
    <t xml:space="preserve">Low-Medium</t>
  </si>
  <si>
    <t xml:space="preserve">Classify</t>
  </si>
  <si>
    <t xml:space="preserve">TC-R4</t>
  </si>
  <si>
    <t xml:space="preserve">Merge commits carry the least information; commit messages are the changelog</t>
  </si>
  <si>
    <t xml:space="preserve">TC-CI4</t>
  </si>
  <si>
    <t xml:space="preserve">npm audit reports but does not block, with no expiry</t>
  </si>
  <si>
    <t xml:space="preserve">TC-F2</t>
  </si>
  <si>
    <t xml:space="preserve">--runInBand costs 3x runtime for no observed benefit</t>
  </si>
  <si>
    <t xml:space="preserve">TC-F3</t>
  </si>
  <si>
    <t xml:space="preserve">Expected-error noise in the CI log trains people to ignore red output</t>
  </si>
  <si>
    <t xml:space="preserve">TC-F1</t>
  </si>
  <si>
    <t xml:space="preserve">No flakiness across 90 runs - measured, not assumed</t>
  </si>
  <si>
    <t xml:space="preserve">TC-CI9</t>
  </si>
  <si>
    <t xml:space="preserve">Pipeline speed is not a problem</t>
  </si>
  <si>
    <t xml:space="preserve">UI-F1</t>
  </si>
  <si>
    <t xml:space="preserve">Desktop UI</t>
  </si>
  <si>
    <t xml:space="preserve">The home screen is a static HTML mock inside an iframe (1,440 lines of raw assets)</t>
  </si>
  <si>
    <t xml:space="preserve">UI-F2</t>
  </si>
  <si>
    <t xml:space="preserve">There is no desktop breakpoint - the entire app lays out at 640px</t>
  </si>
  <si>
    <t xml:space="preserve">sm: 216 and lg: 30 unchanged since the audit; xl: has moved 0 -&gt; 3 and 2xl: 0 -&gt; 1, so the work has barely started</t>
  </si>
  <si>
    <t xml:space="preserve">UI-F4</t>
  </si>
  <si>
    <t xml:space="preserve">565 form fields render a label with no association to their control</t>
  </si>
  <si>
    <t xml:space="preserve">Mechanical</t>
  </si>
  <si>
    <t xml:space="preserve">aria-invalid 0 -&gt; 12 and aria-describedby 0 -&gt; 19 since the audit</t>
  </si>
  <si>
    <t xml:space="preserve">UI-F5</t>
  </si>
  <si>
    <t xml:space="preserve">The documented way to build a screen does not exist</t>
  </si>
  <si>
    <t xml:space="preserve">Docs + code</t>
  </si>
  <si>
    <t xml:space="preserve">UI-A2</t>
  </si>
  <si>
    <t xml:space="preserve">features/sales/ui.tsx is a shadow design system imported by 10 feature areas</t>
  </si>
  <si>
    <t xml:space="preserve">UI-F3</t>
  </si>
  <si>
    <t xml:space="preserve">Every page self-caps at 1152px (mx-auto max-w-6xl at 86 call sites)</t>
  </si>
  <si>
    <t xml:space="preserve">Largely fixed</t>
  </si>
  <si>
    <t xml:space="preserve">max-w-6xl down from 86 to 2; replaced by semantic max-w-standard / max-w-wide / max-w-reading tokens</t>
  </si>
  <si>
    <t xml:space="preserve">UI-F6</t>
  </si>
  <si>
    <t xml:space="preserve">Duplication: the same UI reimplemented instead of shared</t>
  </si>
  <si>
    <t xml:space="preserve">UI-F7</t>
  </si>
  <si>
    <t xml:space="preserve">Component architecture: god files and no page-level decomposition</t>
  </si>
  <si>
    <t xml:space="preserve">UI-F13</t>
  </si>
  <si>
    <t xml:space="preserve">Accessibility: .micro at 3.01:1 contrast, menu keyboard nav, heading structure</t>
  </si>
  <si>
    <t xml:space="preserve">UI-F16</t>
  </si>
  <si>
    <t xml:space="preserve">Tech stack gaps: no frontend tests, no a11y lint</t>
  </si>
  <si>
    <t xml:space="preserve">UI-A3</t>
  </si>
  <si>
    <t xml:space="preserve">Local re-implementations found only by reading (Segmented x4, Panel x6, FormButtons x7)</t>
  </si>
  <si>
    <t xml:space="preserve">UI-A4</t>
  </si>
  <si>
    <t xml:space="preserve">Raw JSON shown to end users</t>
  </si>
  <si>
    <t xml:space="preserve">UI-F8</t>
  </si>
  <si>
    <t xml:space="preserve">Data fetching: no cache, duplicate requests, client-side filtering over a truncated 50-row window</t>
  </si>
  <si>
    <t xml:space="preserve">Reclassified by the audit as a correctness defect, not performance. Finance hub fixed server-side in commit 9c5337d; other hubs outstanding</t>
  </si>
  <si>
    <t xml:space="preserve">UI-F9</t>
  </si>
  <si>
    <t xml:space="preserve">Responsive failures beyond the breakpoint gap</t>
  </si>
  <si>
    <t xml:space="preserve">UI-F10</t>
  </si>
  <si>
    <t xml:space="preserve">Loading states: five different idioms, inconsistently applied</t>
  </si>
  <si>
    <t xml:space="preserve">UI-F11</t>
  </si>
  <si>
    <t xml:space="preserve">Empty states: good primitive, uneven coverage, generic copy</t>
  </si>
  <si>
    <t xml:space="preserve">UI-F12</t>
  </si>
  <si>
    <t xml:space="preserve">Errors and edge cases, including a live errMsg double-wrap defect</t>
  </si>
  <si>
    <t xml:space="preserve">UI-F14</t>
  </si>
  <si>
    <t xml:space="preserve">Visual and UX consistency: 122 raw Tailwind palette colours bypassing the tokens</t>
  </si>
  <si>
    <t xml:space="preserve">UI-F15</t>
  </si>
  <si>
    <t xml:space="preserve">Developer experience</t>
  </si>
  <si>
    <t xml:space="preserve">UI-F17</t>
  </si>
  <si>
    <t xml:space="preserve">The visual language is a well-executed template and reads as one - typography and density</t>
  </si>
  <si>
    <t xml:space="preserve">Token pass</t>
  </si>
  <si>
    <t xml:space="preserve">NEW-01</t>
  </si>
  <si>
    <t xml:space="preserve">Dockerfile deps stage never copied packages/, so `@praxis/shared` (a file: dependency) could not be linked — the image had no invoicing module and every final_invoice route 404'd</t>
  </si>
  <si>
    <t xml:space="preserve">Docker</t>
  </si>
  <si>
    <t xml:space="preserve">Layer was cached from before the dep existed, so builds kept passing. Also a time bomb: the next package.json change would fail the build outright. Found by running the test suite. Commit 5ed5870.</t>
  </si>
  <si>
    <t xml:space="preserve">NEW-02</t>
  </si>
  <si>
    <t xml:space="preserve">scripts/deploy.sh git-pulls the repo containing itself, so bash keeps executing the OLD file — every change to it took effect one deploy late</t>
  </si>
  <si>
    <t xml:space="preserve">Shell</t>
  </si>
  <si>
    <t xml:space="preserve">Pre-existing. Surfaced when a fix to the backup step was pulled and the run failed with the exact bug it fixed. Now pulls then re-execs. Reproduced standalone. Commit cdc034d.</t>
  </si>
  <si>
    <t xml:space="preserve">NEW-03</t>
  </si>
  <si>
    <t xml:space="preserve">Working tree is CRLF while every git blob is LF; a shell script edited on Windows becomes unparseable on the Linux server</t>
  </si>
  <si>
    <t xml:space="preserve">rollback.sh failed with `syntax error near unexpected token $'do\r'` — the recovery script could not run at all. .gitattributes added; CI now asserts every tracked *.sh is LF and passes bash -n. Commit 54e3f2c.</t>
  </si>
  <si>
    <t xml:space="preserve">NEW-04</t>
  </si>
  <si>
    <t xml:space="preserve">config/database.js is dead code in the API process — initDatabase() is defined and never called anywhere in src/</t>
  </si>
  <si>
    <t xml:space="preserve">Its pool is permanently null, so query() always throws 'db pool not initialised'. Found because the first readiness probe used it and reported Postgres down on a healthy server. Consistent with DATA 4.1 (the RLS layer does not exist). Needs its own pass.</t>
  </si>
  <si>
    <t xml:space="preserve">NEW-05</t>
  </si>
  <si>
    <t xml:space="preserve">Depreciation rows already written with posted=true and entry_id NULL — the register reports accumulated depreciation the trial balance does not contain</t>
  </si>
  <si>
    <t xml:space="preserve">Data repair</t>
  </si>
  <si>
    <t xml:space="preserve">Damage left by DI-5.5. Net book value understated; any asset disposed in the window computed gain/loss from the phantom figure. scripts/db/reconcile-depreciation.js finds and optionally clears the false flags (commit 1de3ab6). NOT YET RUN.</t>
  </si>
  <si>
    <t xml:space="preserve">NEW-06</t>
  </si>
  <si>
    <t xml:space="preserve">pino-pretty transport was spawned under NODE_ENV=test, leaking a worker thread per Jest process</t>
  </si>
  <si>
    <t xml:space="preserve">Caused 'A worker process has failed to exit gracefully'. Bought nothing — jest.setup.js already silences output. Pretty-printing is now development-only. Commit 5ed5870.</t>
  </si>
  <si>
    <t xml:space="preserve">Praxis LS - consolidated audit register, 2026-08-04</t>
  </si>
  <si>
    <t xml:space="preserve">Seven Phase-0 audits. One row per headline finding on the Register sheet.</t>
  </si>
  <si>
    <t xml:space="preserve">Total</t>
  </si>
  <si>
    <t xml:space="preserve">Status roll-up</t>
  </si>
  <si>
    <t xml:space="preserve">Largely fixed (superseded)</t>
  </si>
  <si>
    <t xml:space="preserve">Independently verified in code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</si>
</sst>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38761D"/>
      <name val="Arial"/>
      <family val="0"/>
      <charset val="1"/>
    </font>
    <font>
      <b val="true"/>
      <sz val="10"/>
      <color rgb="FF1155CC"/>
      <name val="Arial"/>
      <family val="0"/>
      <charset val="1"/>
    </font>
    <font>
      <b val="true"/>
      <sz val="10"/>
      <color rgb="FFB45F06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4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4CCCC"/>
        <bgColor rgb="FFD9D9D9"/>
      </patternFill>
    </fill>
    <fill>
      <patternFill patternType="solid">
        <fgColor rgb="FFFCE5CD"/>
        <bgColor rgb="FFFDEBD3"/>
      </patternFill>
    </fill>
    <fill>
      <patternFill patternType="solid">
        <fgColor rgb="FFFFF2CC"/>
        <bgColor rgb="FFFDEBD3"/>
      </patternFill>
    </fill>
    <fill>
      <patternFill patternType="solid">
        <fgColor rgb="FFD9EAD3"/>
        <bgColor rgb="FFD9D9D9"/>
      </patternFill>
    </fill>
    <fill>
      <patternFill patternType="solid">
        <fgColor rgb="FFFDEBD3"/>
        <bgColor rgb="FFFCE5CD"/>
      </patternFill>
    </fill>
    <fill>
      <patternFill patternType="solid">
        <fgColor rgb="FFF3F3D9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F3F3D9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FCE5CD"/>
          <bgColor rgb="FF000000"/>
        </patternFill>
      </fill>
    </dxf>
    <dxf>
      <fill>
        <patternFill patternType="solid">
          <fgColor rgb="FFFDEBD3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38761D"/>
          <bgColor rgb="FF000000"/>
        </patternFill>
      </fill>
    </dxf>
    <dxf>
      <fill>
        <patternFill patternType="solid">
          <fgColor rgb="FF666666"/>
          <bgColor rgb="FF000000"/>
        </patternFill>
      </fill>
    </dxf>
    <dxf>
      <fill>
        <patternFill patternType="solid">
          <fgColor rgb="FFB45F06"/>
          <bgColor rgb="FF000000"/>
        </patternFill>
      </fill>
    </dxf>
    <dxf>
      <fill>
        <patternFill patternType="solid">
          <fgColor rgb="FF1155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38761D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DEBD3"/>
      <rgbColor rgb="FF660066"/>
      <rgbColor rgb="FFFF8080"/>
      <rgbColor rgb="FF1155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CE5CD"/>
      <rgbColor rgb="FFD9EAD3"/>
      <rgbColor rgb="FFF3F3D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B45F06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9"/>
    <col collapsed="false" customWidth="true" hidden="false" outlineLevel="0" max="3" min="3" style="1" width="74"/>
    <col collapsed="false" customWidth="true" hidden="false" outlineLevel="0" max="4" min="4" style="1" width="12"/>
    <col collapsed="false" customWidth="true" hidden="false" outlineLevel="0" max="5" min="5" style="1" width="20"/>
    <col collapsed="false" customWidth="true" hidden="false" outlineLevel="0" max="6" min="6" style="1" width="18"/>
    <col collapsed="false" customWidth="true" hidden="false" outlineLevel="0" max="7" min="7" style="1" width="16"/>
    <col collapsed="false" customWidth="true" hidden="false" outlineLevel="0" max="8" min="8" style="1" width="74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23.25" hidden="false" customHeight="true" outlineLevel="0" collapsed="false">
      <c r="A2" s="3" t="s">
        <v>8</v>
      </c>
      <c r="B2" s="4" t="s">
        <v>9</v>
      </c>
      <c r="C2" s="4" t="s">
        <v>10</v>
      </c>
      <c r="D2" s="5" t="s">
        <v>11</v>
      </c>
      <c r="E2" s="4" t="s">
        <v>12</v>
      </c>
      <c r="F2" s="6" t="s">
        <v>13</v>
      </c>
      <c r="G2" s="7" t="s">
        <v>14</v>
      </c>
      <c r="H2" s="4" t="s">
        <v>15</v>
      </c>
    </row>
    <row r="3" customFormat="false" ht="23.25" hidden="false" customHeight="true" outlineLevel="0" collapsed="false">
      <c r="A3" s="3" t="s">
        <v>16</v>
      </c>
      <c r="B3" s="4" t="s">
        <v>9</v>
      </c>
      <c r="C3" s="4" t="s">
        <v>17</v>
      </c>
      <c r="D3" s="5" t="s">
        <v>11</v>
      </c>
      <c r="E3" s="4" t="s">
        <v>18</v>
      </c>
      <c r="F3" s="6" t="s">
        <v>13</v>
      </c>
      <c r="G3" s="7" t="s">
        <v>14</v>
      </c>
      <c r="H3" s="4" t="s">
        <v>19</v>
      </c>
    </row>
    <row r="4" customFormat="false" ht="23.25" hidden="false" customHeight="true" outlineLevel="0" collapsed="false">
      <c r="A4" s="3" t="s">
        <v>20</v>
      </c>
      <c r="B4" s="4" t="s">
        <v>9</v>
      </c>
      <c r="C4" s="4" t="s">
        <v>21</v>
      </c>
      <c r="D4" s="5" t="s">
        <v>11</v>
      </c>
      <c r="E4" s="4" t="s">
        <v>18</v>
      </c>
      <c r="F4" s="6" t="s">
        <v>13</v>
      </c>
      <c r="G4" s="7" t="s">
        <v>14</v>
      </c>
      <c r="H4" s="4" t="s">
        <v>22</v>
      </c>
    </row>
    <row r="5" customFormat="false" ht="15" hidden="false" customHeight="true" outlineLevel="0" collapsed="false">
      <c r="A5" s="3" t="s">
        <v>23</v>
      </c>
      <c r="B5" s="4" t="s">
        <v>9</v>
      </c>
      <c r="C5" s="4" t="s">
        <v>24</v>
      </c>
      <c r="D5" s="8" t="s">
        <v>25</v>
      </c>
      <c r="E5" s="4" t="s">
        <v>26</v>
      </c>
      <c r="F5" s="4" t="s">
        <v>27</v>
      </c>
      <c r="G5" s="4" t="s">
        <v>28</v>
      </c>
      <c r="H5" s="4"/>
    </row>
    <row r="6" customFormat="false" ht="23.25" hidden="false" customHeight="true" outlineLevel="0" collapsed="false">
      <c r="A6" s="3" t="s">
        <v>29</v>
      </c>
      <c r="B6" s="4" t="s">
        <v>9</v>
      </c>
      <c r="C6" s="4" t="s">
        <v>30</v>
      </c>
      <c r="D6" s="8" t="s">
        <v>25</v>
      </c>
      <c r="E6" s="4" t="s">
        <v>18</v>
      </c>
      <c r="F6" s="6" t="s">
        <v>13</v>
      </c>
      <c r="G6" s="7" t="s">
        <v>14</v>
      </c>
      <c r="H6" s="4" t="s">
        <v>31</v>
      </c>
    </row>
    <row r="7" customFormat="false" ht="23.25" hidden="false" customHeight="true" outlineLevel="0" collapsed="false">
      <c r="A7" s="3" t="s">
        <v>32</v>
      </c>
      <c r="B7" s="4" t="s">
        <v>9</v>
      </c>
      <c r="C7" s="4" t="s">
        <v>33</v>
      </c>
      <c r="D7" s="8" t="s">
        <v>25</v>
      </c>
      <c r="E7" s="4" t="s">
        <v>26</v>
      </c>
      <c r="F7" s="4" t="s">
        <v>27</v>
      </c>
      <c r="G7" s="4" t="s">
        <v>28</v>
      </c>
      <c r="H7" s="4"/>
    </row>
    <row r="8" customFormat="false" ht="15" hidden="false" customHeight="true" outlineLevel="0" collapsed="false">
      <c r="A8" s="3" t="s">
        <v>34</v>
      </c>
      <c r="B8" s="4" t="s">
        <v>9</v>
      </c>
      <c r="C8" s="4" t="s">
        <v>35</v>
      </c>
      <c r="D8" s="8" t="s">
        <v>25</v>
      </c>
      <c r="E8" s="4" t="s">
        <v>26</v>
      </c>
      <c r="F8" s="4" t="s">
        <v>27</v>
      </c>
      <c r="G8" s="4" t="s">
        <v>28</v>
      </c>
      <c r="H8" s="4"/>
    </row>
    <row r="9" customFormat="false" ht="15" hidden="false" customHeight="true" outlineLevel="0" collapsed="false">
      <c r="A9" s="3" t="s">
        <v>36</v>
      </c>
      <c r="B9" s="4" t="s">
        <v>9</v>
      </c>
      <c r="C9" s="4" t="s">
        <v>37</v>
      </c>
      <c r="D9" s="8" t="s">
        <v>25</v>
      </c>
      <c r="E9" s="4" t="s">
        <v>38</v>
      </c>
      <c r="F9" s="6" t="s">
        <v>13</v>
      </c>
      <c r="G9" s="7" t="s">
        <v>14</v>
      </c>
      <c r="H9" s="4" t="s">
        <v>39</v>
      </c>
    </row>
    <row r="10" customFormat="false" ht="23.25" hidden="false" customHeight="true" outlineLevel="0" collapsed="false">
      <c r="A10" s="3" t="s">
        <v>40</v>
      </c>
      <c r="B10" s="4" t="s">
        <v>9</v>
      </c>
      <c r="C10" s="4" t="s">
        <v>41</v>
      </c>
      <c r="D10" s="8" t="s">
        <v>25</v>
      </c>
      <c r="E10" s="4" t="s">
        <v>18</v>
      </c>
      <c r="F10" s="4" t="s">
        <v>27</v>
      </c>
      <c r="G10" s="4" t="s">
        <v>28</v>
      </c>
      <c r="H10" s="4"/>
    </row>
    <row r="11" customFormat="false" ht="15" hidden="false" customHeight="true" outlineLevel="0" collapsed="false">
      <c r="A11" s="3" t="s">
        <v>42</v>
      </c>
      <c r="B11" s="4" t="s">
        <v>9</v>
      </c>
      <c r="C11" s="4" t="s">
        <v>43</v>
      </c>
      <c r="D11" s="9" t="s">
        <v>44</v>
      </c>
      <c r="E11" s="4" t="s">
        <v>26</v>
      </c>
      <c r="F11" s="4" t="s">
        <v>27</v>
      </c>
      <c r="G11" s="4" t="s">
        <v>28</v>
      </c>
      <c r="H11" s="4"/>
    </row>
    <row r="12" customFormat="false" ht="15" hidden="false" customHeight="true" outlineLevel="0" collapsed="false">
      <c r="A12" s="3" t="s">
        <v>45</v>
      </c>
      <c r="B12" s="4" t="s">
        <v>9</v>
      </c>
      <c r="C12" s="4" t="s">
        <v>46</v>
      </c>
      <c r="D12" s="9" t="s">
        <v>44</v>
      </c>
      <c r="E12" s="4" t="s">
        <v>18</v>
      </c>
      <c r="F12" s="6" t="s">
        <v>13</v>
      </c>
      <c r="G12" s="7" t="s">
        <v>14</v>
      </c>
      <c r="H12" s="4" t="s">
        <v>47</v>
      </c>
    </row>
    <row r="13" customFormat="false" ht="15" hidden="false" customHeight="true" outlineLevel="0" collapsed="false">
      <c r="A13" s="3" t="s">
        <v>48</v>
      </c>
      <c r="B13" s="4" t="s">
        <v>9</v>
      </c>
      <c r="C13" s="4" t="s">
        <v>49</v>
      </c>
      <c r="D13" s="9" t="s">
        <v>44</v>
      </c>
      <c r="E13" s="4" t="s">
        <v>26</v>
      </c>
      <c r="F13" s="4" t="s">
        <v>27</v>
      </c>
      <c r="G13" s="4" t="s">
        <v>28</v>
      </c>
      <c r="H13" s="4"/>
    </row>
    <row r="14" customFormat="false" ht="15" hidden="false" customHeight="true" outlineLevel="0" collapsed="false">
      <c r="A14" s="3" t="s">
        <v>50</v>
      </c>
      <c r="B14" s="4" t="s">
        <v>9</v>
      </c>
      <c r="C14" s="4" t="s">
        <v>51</v>
      </c>
      <c r="D14" s="9" t="s">
        <v>44</v>
      </c>
      <c r="E14" s="4" t="s">
        <v>26</v>
      </c>
      <c r="F14" s="4" t="s">
        <v>27</v>
      </c>
      <c r="G14" s="4" t="s">
        <v>28</v>
      </c>
      <c r="H14" s="4"/>
    </row>
    <row r="15" customFormat="false" ht="15" hidden="false" customHeight="true" outlineLevel="0" collapsed="false">
      <c r="A15" s="3" t="s">
        <v>52</v>
      </c>
      <c r="B15" s="4" t="s">
        <v>9</v>
      </c>
      <c r="C15" s="4" t="s">
        <v>53</v>
      </c>
      <c r="D15" s="9" t="s">
        <v>44</v>
      </c>
      <c r="E15" s="4" t="s">
        <v>54</v>
      </c>
      <c r="F15" s="4" t="s">
        <v>27</v>
      </c>
      <c r="G15" s="4" t="s">
        <v>28</v>
      </c>
      <c r="H15" s="4"/>
    </row>
    <row r="16" customFormat="false" ht="15" hidden="false" customHeight="true" outlineLevel="0" collapsed="false">
      <c r="A16" s="3" t="s">
        <v>55</v>
      </c>
      <c r="B16" s="4" t="s">
        <v>9</v>
      </c>
      <c r="C16" s="4" t="s">
        <v>56</v>
      </c>
      <c r="D16" s="9" t="s">
        <v>44</v>
      </c>
      <c r="E16" s="4" t="s">
        <v>54</v>
      </c>
      <c r="F16" s="4" t="s">
        <v>27</v>
      </c>
      <c r="G16" s="4" t="s">
        <v>28</v>
      </c>
      <c r="H16" s="4"/>
    </row>
    <row r="17" customFormat="false" ht="15" hidden="false" customHeight="true" outlineLevel="0" collapsed="false">
      <c r="A17" s="3" t="s">
        <v>57</v>
      </c>
      <c r="B17" s="4" t="s">
        <v>9</v>
      </c>
      <c r="C17" s="4" t="s">
        <v>58</v>
      </c>
      <c r="D17" s="9" t="s">
        <v>44</v>
      </c>
      <c r="E17" s="4" t="s">
        <v>54</v>
      </c>
      <c r="F17" s="4" t="s">
        <v>27</v>
      </c>
      <c r="G17" s="4" t="s">
        <v>28</v>
      </c>
      <c r="H17" s="4"/>
    </row>
    <row r="18" customFormat="false" ht="15" hidden="false" customHeight="true" outlineLevel="0" collapsed="false">
      <c r="A18" s="3" t="s">
        <v>59</v>
      </c>
      <c r="B18" s="4" t="s">
        <v>9</v>
      </c>
      <c r="C18" s="4" t="s">
        <v>60</v>
      </c>
      <c r="D18" s="9" t="s">
        <v>44</v>
      </c>
      <c r="E18" s="4" t="s">
        <v>61</v>
      </c>
      <c r="F18" s="4" t="s">
        <v>27</v>
      </c>
      <c r="G18" s="7" t="s">
        <v>14</v>
      </c>
      <c r="H18" s="4" t="s">
        <v>62</v>
      </c>
    </row>
    <row r="19" customFormat="false" ht="15" hidden="false" customHeight="true" outlineLevel="0" collapsed="false">
      <c r="A19" s="3" t="s">
        <v>63</v>
      </c>
      <c r="B19" s="4" t="s">
        <v>9</v>
      </c>
      <c r="C19" s="4" t="s">
        <v>64</v>
      </c>
      <c r="D19" s="9" t="s">
        <v>44</v>
      </c>
      <c r="E19" s="4" t="s">
        <v>65</v>
      </c>
      <c r="F19" s="4" t="s">
        <v>27</v>
      </c>
      <c r="G19" s="7" t="s">
        <v>14</v>
      </c>
      <c r="H19" s="4" t="s">
        <v>66</v>
      </c>
    </row>
    <row r="20" customFormat="false" ht="15" hidden="false" customHeight="true" outlineLevel="0" collapsed="false">
      <c r="A20" s="3" t="s">
        <v>67</v>
      </c>
      <c r="B20" s="4" t="s">
        <v>9</v>
      </c>
      <c r="C20" s="4" t="s">
        <v>68</v>
      </c>
      <c r="D20" s="10" t="s">
        <v>69</v>
      </c>
      <c r="E20" s="4" t="s">
        <v>70</v>
      </c>
      <c r="F20" s="4" t="s">
        <v>27</v>
      </c>
      <c r="G20" s="4" t="s">
        <v>28</v>
      </c>
      <c r="H20" s="4"/>
    </row>
    <row r="21" customFormat="false" ht="23.25" hidden="false" customHeight="true" outlineLevel="0" collapsed="false">
      <c r="A21" s="3" t="s">
        <v>71</v>
      </c>
      <c r="B21" s="4" t="s">
        <v>9</v>
      </c>
      <c r="C21" s="4" t="s">
        <v>72</v>
      </c>
      <c r="D21" s="10" t="s">
        <v>69</v>
      </c>
      <c r="E21" s="4" t="s">
        <v>38</v>
      </c>
      <c r="F21" s="4" t="s">
        <v>27</v>
      </c>
      <c r="G21" s="4" t="s">
        <v>28</v>
      </c>
      <c r="H21" s="4"/>
    </row>
    <row r="22" customFormat="false" ht="23.25" hidden="false" customHeight="true" outlineLevel="0" collapsed="false">
      <c r="A22" s="3" t="s">
        <v>73</v>
      </c>
      <c r="B22" s="4" t="s">
        <v>9</v>
      </c>
      <c r="C22" s="4" t="s">
        <v>74</v>
      </c>
      <c r="D22" s="10" t="s">
        <v>69</v>
      </c>
      <c r="E22" s="4" t="s">
        <v>75</v>
      </c>
      <c r="F22" s="4" t="s">
        <v>27</v>
      </c>
      <c r="G22" s="4" t="s">
        <v>28</v>
      </c>
      <c r="H22" s="4"/>
    </row>
    <row r="23" customFormat="false" ht="23.25" hidden="false" customHeight="true" outlineLevel="0" collapsed="false">
      <c r="A23" s="3" t="s">
        <v>76</v>
      </c>
      <c r="B23" s="4" t="s">
        <v>9</v>
      </c>
      <c r="C23" s="4" t="s">
        <v>77</v>
      </c>
      <c r="D23" s="10" t="s">
        <v>69</v>
      </c>
      <c r="E23" s="4" t="s">
        <v>70</v>
      </c>
      <c r="F23" s="6" t="s">
        <v>13</v>
      </c>
      <c r="G23" s="7" t="s">
        <v>14</v>
      </c>
      <c r="H23" s="4" t="s">
        <v>78</v>
      </c>
    </row>
    <row r="24" customFormat="false" ht="15" hidden="false" customHeight="true" outlineLevel="0" collapsed="false">
      <c r="A24" s="3" t="s">
        <v>79</v>
      </c>
      <c r="B24" s="4" t="s">
        <v>9</v>
      </c>
      <c r="C24" s="4" t="s">
        <v>80</v>
      </c>
      <c r="D24" s="10" t="s">
        <v>69</v>
      </c>
      <c r="E24" s="4" t="s">
        <v>81</v>
      </c>
      <c r="F24" s="4" t="s">
        <v>27</v>
      </c>
      <c r="G24" s="4" t="s">
        <v>28</v>
      </c>
      <c r="H24" s="4"/>
    </row>
    <row r="25" customFormat="false" ht="15" hidden="false" customHeight="true" outlineLevel="0" collapsed="false">
      <c r="A25" s="3" t="s">
        <v>82</v>
      </c>
      <c r="B25" s="4" t="s">
        <v>9</v>
      </c>
      <c r="C25" s="4" t="s">
        <v>83</v>
      </c>
      <c r="D25" s="10" t="s">
        <v>69</v>
      </c>
      <c r="E25" s="4" t="s">
        <v>84</v>
      </c>
      <c r="F25" s="4" t="s">
        <v>27</v>
      </c>
      <c r="G25" s="4" t="s">
        <v>28</v>
      </c>
      <c r="H25" s="4"/>
    </row>
    <row r="26" customFormat="false" ht="23.25" hidden="false" customHeight="true" outlineLevel="0" collapsed="false">
      <c r="A26" s="3" t="s">
        <v>85</v>
      </c>
      <c r="B26" s="4" t="s">
        <v>86</v>
      </c>
      <c r="C26" s="4" t="s">
        <v>87</v>
      </c>
      <c r="D26" s="5" t="s">
        <v>11</v>
      </c>
      <c r="E26" s="4" t="s">
        <v>18</v>
      </c>
      <c r="F26" s="6" t="s">
        <v>13</v>
      </c>
      <c r="G26" s="7" t="s">
        <v>14</v>
      </c>
      <c r="H26" s="4" t="s">
        <v>88</v>
      </c>
    </row>
    <row r="27" customFormat="false" ht="15" hidden="false" customHeight="true" outlineLevel="0" collapsed="false">
      <c r="A27" s="3" t="s">
        <v>89</v>
      </c>
      <c r="B27" s="4" t="s">
        <v>86</v>
      </c>
      <c r="C27" s="4" t="s">
        <v>90</v>
      </c>
      <c r="D27" s="5" t="s">
        <v>11</v>
      </c>
      <c r="E27" s="4" t="s">
        <v>91</v>
      </c>
      <c r="F27" s="4" t="s">
        <v>27</v>
      </c>
      <c r="G27" s="4" t="s">
        <v>28</v>
      </c>
      <c r="H27" s="4"/>
    </row>
    <row r="28" customFormat="false" ht="15" hidden="false" customHeight="true" outlineLevel="0" collapsed="false">
      <c r="A28" s="3" t="s">
        <v>92</v>
      </c>
      <c r="B28" s="4" t="s">
        <v>86</v>
      </c>
      <c r="C28" s="4" t="s">
        <v>93</v>
      </c>
      <c r="D28" s="5" t="s">
        <v>11</v>
      </c>
      <c r="E28" s="4" t="s">
        <v>94</v>
      </c>
      <c r="F28" s="4" t="s">
        <v>27</v>
      </c>
      <c r="G28" s="4" t="s">
        <v>28</v>
      </c>
      <c r="H28" s="4"/>
    </row>
    <row r="29" customFormat="false" ht="15" hidden="false" customHeight="true" outlineLevel="0" collapsed="false">
      <c r="A29" s="3" t="s">
        <v>95</v>
      </c>
      <c r="B29" s="4" t="s">
        <v>86</v>
      </c>
      <c r="C29" s="4" t="s">
        <v>96</v>
      </c>
      <c r="D29" s="5" t="s">
        <v>11</v>
      </c>
      <c r="E29" s="4" t="s">
        <v>97</v>
      </c>
      <c r="F29" s="4" t="s">
        <v>27</v>
      </c>
      <c r="G29" s="4" t="s">
        <v>28</v>
      </c>
      <c r="H29" s="4"/>
    </row>
    <row r="30" customFormat="false" ht="15" hidden="false" customHeight="true" outlineLevel="0" collapsed="false">
      <c r="A30" s="3" t="s">
        <v>98</v>
      </c>
      <c r="B30" s="4" t="s">
        <v>86</v>
      </c>
      <c r="C30" s="4" t="s">
        <v>99</v>
      </c>
      <c r="D30" s="5" t="s">
        <v>11</v>
      </c>
      <c r="E30" s="4" t="s">
        <v>97</v>
      </c>
      <c r="F30" s="4" t="s">
        <v>27</v>
      </c>
      <c r="G30" s="4" t="s">
        <v>28</v>
      </c>
      <c r="H30" s="4"/>
    </row>
    <row r="31" customFormat="false" ht="15" hidden="false" customHeight="true" outlineLevel="0" collapsed="false">
      <c r="A31" s="3" t="s">
        <v>100</v>
      </c>
      <c r="B31" s="4" t="s">
        <v>86</v>
      </c>
      <c r="C31" s="4" t="s">
        <v>101</v>
      </c>
      <c r="D31" s="5" t="s">
        <v>11</v>
      </c>
      <c r="E31" s="4" t="s">
        <v>102</v>
      </c>
      <c r="F31" s="4" t="s">
        <v>27</v>
      </c>
      <c r="G31" s="4" t="s">
        <v>28</v>
      </c>
      <c r="H31" s="4"/>
    </row>
    <row r="32" customFormat="false" ht="15" hidden="false" customHeight="true" outlineLevel="0" collapsed="false">
      <c r="A32" s="3" t="s">
        <v>103</v>
      </c>
      <c r="B32" s="4" t="s">
        <v>86</v>
      </c>
      <c r="C32" s="4" t="s">
        <v>104</v>
      </c>
      <c r="D32" s="8" t="s">
        <v>25</v>
      </c>
      <c r="E32" s="4" t="s">
        <v>105</v>
      </c>
      <c r="F32" s="4" t="s">
        <v>27</v>
      </c>
      <c r="G32" s="4" t="s">
        <v>28</v>
      </c>
      <c r="H32" s="4"/>
    </row>
    <row r="33" customFormat="false" ht="15" hidden="false" customHeight="true" outlineLevel="0" collapsed="false">
      <c r="A33" s="3" t="s">
        <v>106</v>
      </c>
      <c r="B33" s="4" t="s">
        <v>86</v>
      </c>
      <c r="C33" s="4" t="s">
        <v>107</v>
      </c>
      <c r="D33" s="8" t="s">
        <v>25</v>
      </c>
      <c r="E33" s="4" t="s">
        <v>108</v>
      </c>
      <c r="F33" s="4" t="s">
        <v>27</v>
      </c>
      <c r="G33" s="4" t="s">
        <v>28</v>
      </c>
      <c r="H33" s="4"/>
    </row>
    <row r="34" customFormat="false" ht="15" hidden="false" customHeight="true" outlineLevel="0" collapsed="false">
      <c r="A34" s="3" t="s">
        <v>109</v>
      </c>
      <c r="B34" s="4" t="s">
        <v>86</v>
      </c>
      <c r="C34" s="4" t="s">
        <v>110</v>
      </c>
      <c r="D34" s="8" t="s">
        <v>25</v>
      </c>
      <c r="E34" s="4" t="s">
        <v>105</v>
      </c>
      <c r="F34" s="4" t="s">
        <v>27</v>
      </c>
      <c r="G34" s="4" t="s">
        <v>28</v>
      </c>
      <c r="H34" s="4"/>
    </row>
    <row r="35" customFormat="false" ht="15" hidden="false" customHeight="true" outlineLevel="0" collapsed="false">
      <c r="A35" s="3" t="s">
        <v>111</v>
      </c>
      <c r="B35" s="4" t="s">
        <v>86</v>
      </c>
      <c r="C35" s="4" t="s">
        <v>112</v>
      </c>
      <c r="D35" s="8" t="s">
        <v>25</v>
      </c>
      <c r="E35" s="4" t="s">
        <v>18</v>
      </c>
      <c r="F35" s="4" t="s">
        <v>27</v>
      </c>
      <c r="G35" s="4" t="s">
        <v>28</v>
      </c>
      <c r="H35" s="4"/>
    </row>
    <row r="36" customFormat="false" ht="15" hidden="false" customHeight="true" outlineLevel="0" collapsed="false">
      <c r="A36" s="3" t="s">
        <v>113</v>
      </c>
      <c r="B36" s="4" t="s">
        <v>86</v>
      </c>
      <c r="C36" s="4" t="s">
        <v>114</v>
      </c>
      <c r="D36" s="8" t="s">
        <v>25</v>
      </c>
      <c r="E36" s="4" t="s">
        <v>115</v>
      </c>
      <c r="F36" s="4" t="s">
        <v>27</v>
      </c>
      <c r="G36" s="4" t="s">
        <v>28</v>
      </c>
      <c r="H36" s="4"/>
    </row>
    <row r="37" customFormat="false" ht="15" hidden="false" customHeight="true" outlineLevel="0" collapsed="false">
      <c r="A37" s="3" t="s">
        <v>116</v>
      </c>
      <c r="B37" s="4" t="s">
        <v>86</v>
      </c>
      <c r="C37" s="4" t="s">
        <v>117</v>
      </c>
      <c r="D37" s="8" t="s">
        <v>25</v>
      </c>
      <c r="E37" s="4" t="s">
        <v>118</v>
      </c>
      <c r="F37" s="4" t="s">
        <v>27</v>
      </c>
      <c r="G37" s="4" t="s">
        <v>28</v>
      </c>
      <c r="H37" s="4"/>
    </row>
    <row r="38" customFormat="false" ht="15" hidden="false" customHeight="true" outlineLevel="0" collapsed="false">
      <c r="A38" s="3" t="s">
        <v>119</v>
      </c>
      <c r="B38" s="4" t="s">
        <v>86</v>
      </c>
      <c r="C38" s="4" t="s">
        <v>120</v>
      </c>
      <c r="D38" s="8" t="s">
        <v>25</v>
      </c>
      <c r="E38" s="4" t="s">
        <v>121</v>
      </c>
      <c r="F38" s="4" t="s">
        <v>27</v>
      </c>
      <c r="G38" s="4" t="s">
        <v>28</v>
      </c>
      <c r="H38" s="4"/>
    </row>
    <row r="39" customFormat="false" ht="15" hidden="false" customHeight="true" outlineLevel="0" collapsed="false">
      <c r="A39" s="3" t="s">
        <v>122</v>
      </c>
      <c r="B39" s="4" t="s">
        <v>86</v>
      </c>
      <c r="C39" s="4" t="s">
        <v>123</v>
      </c>
      <c r="D39" s="8" t="s">
        <v>25</v>
      </c>
      <c r="E39" s="4" t="s">
        <v>121</v>
      </c>
      <c r="F39" s="4" t="s">
        <v>27</v>
      </c>
      <c r="G39" s="4" t="s">
        <v>28</v>
      </c>
      <c r="H39" s="4"/>
    </row>
    <row r="40" customFormat="false" ht="15" hidden="false" customHeight="true" outlineLevel="0" collapsed="false">
      <c r="A40" s="3" t="s">
        <v>124</v>
      </c>
      <c r="B40" s="4" t="s">
        <v>86</v>
      </c>
      <c r="C40" s="4" t="s">
        <v>125</v>
      </c>
      <c r="D40" s="8" t="s">
        <v>25</v>
      </c>
      <c r="E40" s="4" t="s">
        <v>126</v>
      </c>
      <c r="F40" s="4" t="s">
        <v>27</v>
      </c>
      <c r="G40" s="4" t="s">
        <v>28</v>
      </c>
      <c r="H40" s="4"/>
    </row>
    <row r="41" customFormat="false" ht="15" hidden="false" customHeight="true" outlineLevel="0" collapsed="false">
      <c r="A41" s="3" t="s">
        <v>127</v>
      </c>
      <c r="B41" s="4" t="s">
        <v>86</v>
      </c>
      <c r="C41" s="4" t="s">
        <v>128</v>
      </c>
      <c r="D41" s="8" t="s">
        <v>25</v>
      </c>
      <c r="E41" s="4" t="s">
        <v>129</v>
      </c>
      <c r="F41" s="11" t="s">
        <v>130</v>
      </c>
      <c r="G41" s="4" t="s">
        <v>28</v>
      </c>
      <c r="H41" s="4" t="s">
        <v>131</v>
      </c>
    </row>
    <row r="42" customFormat="false" ht="15" hidden="false" customHeight="true" outlineLevel="0" collapsed="false">
      <c r="A42" s="3" t="s">
        <v>132</v>
      </c>
      <c r="B42" s="4" t="s">
        <v>86</v>
      </c>
      <c r="C42" s="4" t="s">
        <v>133</v>
      </c>
      <c r="D42" s="8" t="s">
        <v>25</v>
      </c>
      <c r="E42" s="4" t="s">
        <v>91</v>
      </c>
      <c r="F42" s="4" t="s">
        <v>27</v>
      </c>
      <c r="G42" s="4" t="s">
        <v>28</v>
      </c>
      <c r="H42" s="4"/>
    </row>
    <row r="43" customFormat="false" ht="15" hidden="false" customHeight="true" outlineLevel="0" collapsed="false">
      <c r="A43" s="3" t="s">
        <v>134</v>
      </c>
      <c r="B43" s="4" t="s">
        <v>86</v>
      </c>
      <c r="C43" s="4" t="s">
        <v>135</v>
      </c>
      <c r="D43" s="8" t="s">
        <v>25</v>
      </c>
      <c r="E43" s="4" t="s">
        <v>18</v>
      </c>
      <c r="F43" s="4" t="s">
        <v>27</v>
      </c>
      <c r="G43" s="4" t="s">
        <v>28</v>
      </c>
      <c r="H43" s="4"/>
    </row>
    <row r="44" customFormat="false" ht="15" hidden="false" customHeight="true" outlineLevel="0" collapsed="false">
      <c r="A44" s="3" t="s">
        <v>136</v>
      </c>
      <c r="B44" s="4" t="s">
        <v>86</v>
      </c>
      <c r="C44" s="4" t="s">
        <v>137</v>
      </c>
      <c r="D44" s="8" t="s">
        <v>25</v>
      </c>
      <c r="E44" s="4" t="s">
        <v>18</v>
      </c>
      <c r="F44" s="4" t="s">
        <v>27</v>
      </c>
      <c r="G44" s="4" t="s">
        <v>28</v>
      </c>
      <c r="H44" s="4"/>
    </row>
    <row r="45" customFormat="false" ht="15" hidden="false" customHeight="true" outlineLevel="0" collapsed="false">
      <c r="A45" s="3" t="s">
        <v>138</v>
      </c>
      <c r="B45" s="4" t="s">
        <v>86</v>
      </c>
      <c r="C45" s="4" t="s">
        <v>139</v>
      </c>
      <c r="D45" s="8" t="s">
        <v>25</v>
      </c>
      <c r="E45" s="4" t="s">
        <v>140</v>
      </c>
      <c r="F45" s="4" t="s">
        <v>27</v>
      </c>
      <c r="G45" s="4" t="s">
        <v>28</v>
      </c>
      <c r="H45" s="4"/>
    </row>
    <row r="46" customFormat="false" ht="15" hidden="false" customHeight="true" outlineLevel="0" collapsed="false">
      <c r="A46" s="3" t="s">
        <v>141</v>
      </c>
      <c r="B46" s="4" t="s">
        <v>86</v>
      </c>
      <c r="C46" s="4" t="s">
        <v>142</v>
      </c>
      <c r="D46" s="8" t="s">
        <v>25</v>
      </c>
      <c r="E46" s="4" t="s">
        <v>143</v>
      </c>
      <c r="F46" s="4" t="s">
        <v>27</v>
      </c>
      <c r="G46" s="4" t="s">
        <v>28</v>
      </c>
      <c r="H46" s="4"/>
    </row>
    <row r="47" customFormat="false" ht="15" hidden="false" customHeight="true" outlineLevel="0" collapsed="false">
      <c r="A47" s="3" t="s">
        <v>144</v>
      </c>
      <c r="B47" s="4" t="s">
        <v>86</v>
      </c>
      <c r="C47" s="4" t="s">
        <v>145</v>
      </c>
      <c r="D47" s="8" t="s">
        <v>25</v>
      </c>
      <c r="E47" s="4" t="s">
        <v>108</v>
      </c>
      <c r="F47" s="4" t="s">
        <v>27</v>
      </c>
      <c r="G47" s="4" t="s">
        <v>28</v>
      </c>
      <c r="H47" s="4"/>
    </row>
    <row r="48" customFormat="false" ht="15" hidden="false" customHeight="true" outlineLevel="0" collapsed="false">
      <c r="A48" s="3" t="s">
        <v>146</v>
      </c>
      <c r="B48" s="4" t="s">
        <v>86</v>
      </c>
      <c r="C48" s="4" t="s">
        <v>147</v>
      </c>
      <c r="D48" s="9" t="s">
        <v>44</v>
      </c>
      <c r="E48" s="4" t="s">
        <v>143</v>
      </c>
      <c r="F48" s="4" t="s">
        <v>27</v>
      </c>
      <c r="G48" s="4" t="s">
        <v>28</v>
      </c>
      <c r="H48" s="4"/>
    </row>
    <row r="49" customFormat="false" ht="15" hidden="false" customHeight="true" outlineLevel="0" collapsed="false">
      <c r="A49" s="3" t="s">
        <v>148</v>
      </c>
      <c r="B49" s="4" t="s">
        <v>86</v>
      </c>
      <c r="C49" s="4" t="s">
        <v>149</v>
      </c>
      <c r="D49" s="9" t="s">
        <v>44</v>
      </c>
      <c r="E49" s="4" t="s">
        <v>143</v>
      </c>
      <c r="F49" s="4" t="s">
        <v>27</v>
      </c>
      <c r="G49" s="4" t="s">
        <v>28</v>
      </c>
      <c r="H49" s="4"/>
    </row>
    <row r="50" customFormat="false" ht="15" hidden="false" customHeight="true" outlineLevel="0" collapsed="false">
      <c r="A50" s="3" t="s">
        <v>150</v>
      </c>
      <c r="B50" s="4" t="s">
        <v>86</v>
      </c>
      <c r="C50" s="4" t="s">
        <v>151</v>
      </c>
      <c r="D50" s="9" t="s">
        <v>44</v>
      </c>
      <c r="E50" s="4" t="s">
        <v>152</v>
      </c>
      <c r="F50" s="4" t="s">
        <v>27</v>
      </c>
      <c r="G50" s="4" t="s">
        <v>28</v>
      </c>
      <c r="H50" s="4"/>
    </row>
    <row r="51" customFormat="false" ht="15" hidden="false" customHeight="true" outlineLevel="0" collapsed="false">
      <c r="A51" s="3" t="s">
        <v>153</v>
      </c>
      <c r="B51" s="4" t="s">
        <v>86</v>
      </c>
      <c r="C51" s="4" t="s">
        <v>154</v>
      </c>
      <c r="D51" s="9" t="s">
        <v>44</v>
      </c>
      <c r="E51" s="4" t="s">
        <v>155</v>
      </c>
      <c r="F51" s="4" t="s">
        <v>27</v>
      </c>
      <c r="G51" s="4" t="s">
        <v>28</v>
      </c>
      <c r="H51" s="4"/>
    </row>
    <row r="52" customFormat="false" ht="15" hidden="false" customHeight="true" outlineLevel="0" collapsed="false">
      <c r="A52" s="3" t="s">
        <v>156</v>
      </c>
      <c r="B52" s="4" t="s">
        <v>86</v>
      </c>
      <c r="C52" s="4" t="s">
        <v>157</v>
      </c>
      <c r="D52" s="9" t="s">
        <v>44</v>
      </c>
      <c r="E52" s="4" t="s">
        <v>158</v>
      </c>
      <c r="F52" s="4" t="s">
        <v>27</v>
      </c>
      <c r="G52" s="4" t="s">
        <v>28</v>
      </c>
      <c r="H52" s="4"/>
    </row>
    <row r="53" customFormat="false" ht="15" hidden="false" customHeight="true" outlineLevel="0" collapsed="false">
      <c r="A53" s="3" t="s">
        <v>159</v>
      </c>
      <c r="B53" s="4" t="s">
        <v>86</v>
      </c>
      <c r="C53" s="4" t="s">
        <v>160</v>
      </c>
      <c r="D53" s="9" t="s">
        <v>44</v>
      </c>
      <c r="E53" s="4" t="s">
        <v>161</v>
      </c>
      <c r="F53" s="4" t="s">
        <v>27</v>
      </c>
      <c r="G53" s="4" t="s">
        <v>28</v>
      </c>
      <c r="H53" s="4"/>
    </row>
    <row r="54" customFormat="false" ht="15" hidden="false" customHeight="true" outlineLevel="0" collapsed="false">
      <c r="A54" s="3" t="s">
        <v>162</v>
      </c>
      <c r="B54" s="4" t="s">
        <v>86</v>
      </c>
      <c r="C54" s="4" t="s">
        <v>163</v>
      </c>
      <c r="D54" s="9" t="s">
        <v>44</v>
      </c>
      <c r="E54" s="4" t="s">
        <v>164</v>
      </c>
      <c r="F54" s="4" t="s">
        <v>27</v>
      </c>
      <c r="G54" s="4" t="s">
        <v>28</v>
      </c>
      <c r="H54" s="4"/>
    </row>
    <row r="55" customFormat="false" ht="15" hidden="false" customHeight="true" outlineLevel="0" collapsed="false">
      <c r="A55" s="3" t="s">
        <v>165</v>
      </c>
      <c r="B55" s="4" t="s">
        <v>86</v>
      </c>
      <c r="C55" s="4" t="s">
        <v>166</v>
      </c>
      <c r="D55" s="9" t="s">
        <v>44</v>
      </c>
      <c r="E55" s="4" t="s">
        <v>26</v>
      </c>
      <c r="F55" s="4" t="s">
        <v>27</v>
      </c>
      <c r="G55" s="4" t="s">
        <v>28</v>
      </c>
      <c r="H55" s="4"/>
    </row>
    <row r="56" customFormat="false" ht="15" hidden="false" customHeight="true" outlineLevel="0" collapsed="false">
      <c r="A56" s="3" t="s">
        <v>167</v>
      </c>
      <c r="B56" s="4" t="s">
        <v>86</v>
      </c>
      <c r="C56" s="4" t="s">
        <v>168</v>
      </c>
      <c r="D56" s="9" t="s">
        <v>44</v>
      </c>
      <c r="E56" s="4" t="s">
        <v>143</v>
      </c>
      <c r="F56" s="4" t="s">
        <v>27</v>
      </c>
      <c r="G56" s="4" t="s">
        <v>28</v>
      </c>
      <c r="H56" s="4"/>
    </row>
    <row r="57" customFormat="false" ht="15" hidden="false" customHeight="true" outlineLevel="0" collapsed="false">
      <c r="A57" s="3" t="s">
        <v>169</v>
      </c>
      <c r="B57" s="4" t="s">
        <v>86</v>
      </c>
      <c r="C57" s="4" t="s">
        <v>170</v>
      </c>
      <c r="D57" s="9" t="s">
        <v>44</v>
      </c>
      <c r="E57" s="4" t="s">
        <v>115</v>
      </c>
      <c r="F57" s="4" t="s">
        <v>27</v>
      </c>
      <c r="G57" s="4" t="s">
        <v>28</v>
      </c>
      <c r="H57" s="4"/>
    </row>
    <row r="58" customFormat="false" ht="15" hidden="false" customHeight="true" outlineLevel="0" collapsed="false">
      <c r="A58" s="3" t="s">
        <v>171</v>
      </c>
      <c r="B58" s="4" t="s">
        <v>86</v>
      </c>
      <c r="C58" s="4" t="s">
        <v>172</v>
      </c>
      <c r="D58" s="10" t="s">
        <v>69</v>
      </c>
      <c r="E58" s="4" t="s">
        <v>143</v>
      </c>
      <c r="F58" s="4" t="s">
        <v>27</v>
      </c>
      <c r="G58" s="4" t="s">
        <v>28</v>
      </c>
      <c r="H58" s="4"/>
    </row>
    <row r="59" customFormat="false" ht="15" hidden="false" customHeight="true" outlineLevel="0" collapsed="false">
      <c r="A59" s="3" t="s">
        <v>173</v>
      </c>
      <c r="B59" s="4" t="s">
        <v>174</v>
      </c>
      <c r="C59" s="4" t="s">
        <v>175</v>
      </c>
      <c r="D59" s="5" t="s">
        <v>11</v>
      </c>
      <c r="E59" s="4" t="s">
        <v>176</v>
      </c>
      <c r="F59" s="6" t="s">
        <v>13</v>
      </c>
      <c r="G59" s="7" t="s">
        <v>14</v>
      </c>
      <c r="H59" s="4" t="s">
        <v>177</v>
      </c>
    </row>
    <row r="60" customFormat="false" ht="15" hidden="false" customHeight="true" outlineLevel="0" collapsed="false">
      <c r="A60" s="3" t="s">
        <v>178</v>
      </c>
      <c r="B60" s="4" t="s">
        <v>174</v>
      </c>
      <c r="C60" s="4" t="s">
        <v>179</v>
      </c>
      <c r="D60" s="5" t="s">
        <v>11</v>
      </c>
      <c r="E60" s="4" t="s">
        <v>176</v>
      </c>
      <c r="F60" s="6" t="s">
        <v>13</v>
      </c>
      <c r="G60" s="7" t="s">
        <v>14</v>
      </c>
      <c r="H60" s="4" t="s">
        <v>180</v>
      </c>
    </row>
    <row r="61" customFormat="false" ht="15" hidden="false" customHeight="true" outlineLevel="0" collapsed="false">
      <c r="A61" s="3" t="s">
        <v>181</v>
      </c>
      <c r="B61" s="4" t="s">
        <v>174</v>
      </c>
      <c r="C61" s="4" t="s">
        <v>182</v>
      </c>
      <c r="D61" s="5" t="s">
        <v>11</v>
      </c>
      <c r="E61" s="4" t="s">
        <v>176</v>
      </c>
      <c r="F61" s="4" t="s">
        <v>27</v>
      </c>
      <c r="G61" s="4" t="s">
        <v>28</v>
      </c>
      <c r="H61" s="4"/>
    </row>
    <row r="62" customFormat="false" ht="15" hidden="false" customHeight="true" outlineLevel="0" collapsed="false">
      <c r="A62" s="3" t="s">
        <v>183</v>
      </c>
      <c r="B62" s="4" t="s">
        <v>174</v>
      </c>
      <c r="C62" s="4" t="s">
        <v>184</v>
      </c>
      <c r="D62" s="5" t="s">
        <v>11</v>
      </c>
      <c r="E62" s="4" t="s">
        <v>44</v>
      </c>
      <c r="F62" s="4" t="s">
        <v>27</v>
      </c>
      <c r="G62" s="4" t="s">
        <v>28</v>
      </c>
      <c r="H62" s="4"/>
    </row>
    <row r="63" customFormat="false" ht="15" hidden="false" customHeight="true" outlineLevel="0" collapsed="false">
      <c r="A63" s="3" t="s">
        <v>185</v>
      </c>
      <c r="B63" s="4" t="s">
        <v>174</v>
      </c>
      <c r="C63" s="4" t="s">
        <v>186</v>
      </c>
      <c r="D63" s="5" t="s">
        <v>11</v>
      </c>
      <c r="E63" s="4" t="s">
        <v>44</v>
      </c>
      <c r="F63" s="6" t="s">
        <v>13</v>
      </c>
      <c r="G63" s="7" t="s">
        <v>14</v>
      </c>
      <c r="H63" s="4" t="s">
        <v>187</v>
      </c>
    </row>
    <row r="64" customFormat="false" ht="15" hidden="false" customHeight="true" outlineLevel="0" collapsed="false">
      <c r="A64" s="3" t="s">
        <v>188</v>
      </c>
      <c r="B64" s="4" t="s">
        <v>174</v>
      </c>
      <c r="C64" s="4" t="s">
        <v>189</v>
      </c>
      <c r="D64" s="5" t="s">
        <v>11</v>
      </c>
      <c r="E64" s="4" t="s">
        <v>176</v>
      </c>
      <c r="F64" s="6" t="s">
        <v>13</v>
      </c>
      <c r="G64" s="7" t="s">
        <v>14</v>
      </c>
      <c r="H64" s="4" t="s">
        <v>190</v>
      </c>
    </row>
    <row r="65" customFormat="false" ht="15" hidden="false" customHeight="true" outlineLevel="0" collapsed="false">
      <c r="A65" s="3" t="s">
        <v>191</v>
      </c>
      <c r="B65" s="4" t="s">
        <v>174</v>
      </c>
      <c r="C65" s="4" t="s">
        <v>192</v>
      </c>
      <c r="D65" s="5" t="s">
        <v>11</v>
      </c>
      <c r="E65" s="4" t="s">
        <v>176</v>
      </c>
      <c r="F65" s="6" t="s">
        <v>13</v>
      </c>
      <c r="G65" s="7" t="s">
        <v>14</v>
      </c>
      <c r="H65" s="4" t="s">
        <v>193</v>
      </c>
    </row>
    <row r="66" customFormat="false" ht="15" hidden="false" customHeight="true" outlineLevel="0" collapsed="false">
      <c r="A66" s="3" t="s">
        <v>194</v>
      </c>
      <c r="B66" s="4" t="s">
        <v>174</v>
      </c>
      <c r="C66" s="4" t="s">
        <v>195</v>
      </c>
      <c r="D66" s="5" t="s">
        <v>11</v>
      </c>
      <c r="E66" s="4" t="s">
        <v>44</v>
      </c>
      <c r="F66" s="4" t="s">
        <v>27</v>
      </c>
      <c r="G66" s="4" t="s">
        <v>28</v>
      </c>
      <c r="H66" s="4"/>
    </row>
    <row r="67" customFormat="false" ht="15" hidden="false" customHeight="true" outlineLevel="0" collapsed="false">
      <c r="A67" s="3" t="s">
        <v>196</v>
      </c>
      <c r="B67" s="4" t="s">
        <v>174</v>
      </c>
      <c r="C67" s="4" t="s">
        <v>197</v>
      </c>
      <c r="D67" s="5" t="s">
        <v>11</v>
      </c>
      <c r="E67" s="4" t="s">
        <v>176</v>
      </c>
      <c r="F67" s="6" t="s">
        <v>13</v>
      </c>
      <c r="G67" s="7" t="s">
        <v>14</v>
      </c>
      <c r="H67" s="4" t="s">
        <v>198</v>
      </c>
    </row>
    <row r="68" customFormat="false" ht="15" hidden="false" customHeight="true" outlineLevel="0" collapsed="false">
      <c r="A68" s="3" t="s">
        <v>199</v>
      </c>
      <c r="B68" s="4" t="s">
        <v>174</v>
      </c>
      <c r="C68" s="4" t="s">
        <v>200</v>
      </c>
      <c r="D68" s="5" t="s">
        <v>11</v>
      </c>
      <c r="E68" s="4" t="s">
        <v>44</v>
      </c>
      <c r="F68" s="4" t="s">
        <v>27</v>
      </c>
      <c r="G68" s="4" t="s">
        <v>28</v>
      </c>
      <c r="H68" s="4"/>
    </row>
    <row r="69" customFormat="false" ht="15" hidden="false" customHeight="true" outlineLevel="0" collapsed="false">
      <c r="A69" s="3" t="s">
        <v>201</v>
      </c>
      <c r="B69" s="4" t="s">
        <v>174</v>
      </c>
      <c r="C69" s="4" t="s">
        <v>202</v>
      </c>
      <c r="D69" s="5" t="s">
        <v>11</v>
      </c>
      <c r="E69" s="4" t="s">
        <v>203</v>
      </c>
      <c r="F69" s="4" t="s">
        <v>27</v>
      </c>
      <c r="G69" s="4" t="s">
        <v>28</v>
      </c>
      <c r="H69" s="4"/>
    </row>
    <row r="70" customFormat="false" ht="15" hidden="false" customHeight="true" outlineLevel="0" collapsed="false">
      <c r="A70" s="3" t="s">
        <v>204</v>
      </c>
      <c r="B70" s="4" t="s">
        <v>174</v>
      </c>
      <c r="C70" s="4" t="s">
        <v>205</v>
      </c>
      <c r="D70" s="5" t="s">
        <v>11</v>
      </c>
      <c r="E70" s="4" t="s">
        <v>206</v>
      </c>
      <c r="F70" s="4" t="s">
        <v>27</v>
      </c>
      <c r="G70" s="4" t="s">
        <v>28</v>
      </c>
      <c r="H70" s="4"/>
    </row>
    <row r="71" customFormat="false" ht="15" hidden="false" customHeight="true" outlineLevel="0" collapsed="false">
      <c r="A71" s="3" t="s">
        <v>207</v>
      </c>
      <c r="B71" s="4" t="s">
        <v>174</v>
      </c>
      <c r="C71" s="4" t="s">
        <v>208</v>
      </c>
      <c r="D71" s="5" t="s">
        <v>11</v>
      </c>
      <c r="E71" s="4" t="s">
        <v>44</v>
      </c>
      <c r="F71" s="6" t="s">
        <v>13</v>
      </c>
      <c r="G71" s="7" t="s">
        <v>14</v>
      </c>
      <c r="H71" s="4" t="s">
        <v>209</v>
      </c>
    </row>
    <row r="72" customFormat="false" ht="15" hidden="false" customHeight="true" outlineLevel="0" collapsed="false">
      <c r="A72" s="3" t="s">
        <v>210</v>
      </c>
      <c r="B72" s="4" t="s">
        <v>174</v>
      </c>
      <c r="C72" s="4" t="s">
        <v>211</v>
      </c>
      <c r="D72" s="8" t="s">
        <v>25</v>
      </c>
      <c r="E72" s="4" t="s">
        <v>176</v>
      </c>
      <c r="F72" s="6" t="s">
        <v>13</v>
      </c>
      <c r="G72" s="7" t="s">
        <v>14</v>
      </c>
      <c r="H72" s="4" t="s">
        <v>212</v>
      </c>
    </row>
    <row r="73" customFormat="false" ht="15" hidden="false" customHeight="true" outlineLevel="0" collapsed="false">
      <c r="A73" s="3" t="s">
        <v>213</v>
      </c>
      <c r="B73" s="4" t="s">
        <v>174</v>
      </c>
      <c r="C73" s="4" t="s">
        <v>214</v>
      </c>
      <c r="D73" s="8" t="s">
        <v>25</v>
      </c>
      <c r="E73" s="4" t="s">
        <v>176</v>
      </c>
      <c r="F73" s="4" t="s">
        <v>27</v>
      </c>
      <c r="G73" s="4" t="s">
        <v>28</v>
      </c>
      <c r="H73" s="4"/>
    </row>
    <row r="74" customFormat="false" ht="15" hidden="false" customHeight="true" outlineLevel="0" collapsed="false">
      <c r="A74" s="3" t="s">
        <v>215</v>
      </c>
      <c r="B74" s="4" t="s">
        <v>174</v>
      </c>
      <c r="C74" s="4" t="s">
        <v>216</v>
      </c>
      <c r="D74" s="8" t="s">
        <v>25</v>
      </c>
      <c r="E74" s="4" t="s">
        <v>217</v>
      </c>
      <c r="F74" s="4" t="s">
        <v>27</v>
      </c>
      <c r="G74" s="4" t="s">
        <v>28</v>
      </c>
      <c r="H74" s="4"/>
    </row>
    <row r="75" customFormat="false" ht="15" hidden="false" customHeight="true" outlineLevel="0" collapsed="false">
      <c r="A75" s="3" t="s">
        <v>218</v>
      </c>
      <c r="B75" s="4" t="s">
        <v>174</v>
      </c>
      <c r="C75" s="4" t="s">
        <v>219</v>
      </c>
      <c r="D75" s="8" t="s">
        <v>25</v>
      </c>
      <c r="E75" s="4" t="s">
        <v>176</v>
      </c>
      <c r="F75" s="6" t="s">
        <v>13</v>
      </c>
      <c r="G75" s="7" t="s">
        <v>14</v>
      </c>
      <c r="H75" s="4" t="s">
        <v>220</v>
      </c>
    </row>
    <row r="76" customFormat="false" ht="15" hidden="false" customHeight="true" outlineLevel="0" collapsed="false">
      <c r="A76" s="3" t="s">
        <v>221</v>
      </c>
      <c r="B76" s="4" t="s">
        <v>174</v>
      </c>
      <c r="C76" s="4" t="s">
        <v>222</v>
      </c>
      <c r="D76" s="8" t="s">
        <v>25</v>
      </c>
      <c r="E76" s="4" t="s">
        <v>176</v>
      </c>
      <c r="F76" s="6" t="s">
        <v>13</v>
      </c>
      <c r="G76" s="7" t="s">
        <v>14</v>
      </c>
      <c r="H76" s="4" t="s">
        <v>223</v>
      </c>
    </row>
    <row r="77" customFormat="false" ht="15" hidden="false" customHeight="true" outlineLevel="0" collapsed="false">
      <c r="A77" s="3" t="s">
        <v>224</v>
      </c>
      <c r="B77" s="4" t="s">
        <v>174</v>
      </c>
      <c r="C77" s="4" t="s">
        <v>225</v>
      </c>
      <c r="D77" s="8" t="s">
        <v>25</v>
      </c>
      <c r="E77" s="4" t="s">
        <v>217</v>
      </c>
      <c r="F77" s="4" t="s">
        <v>27</v>
      </c>
      <c r="G77" s="4" t="s">
        <v>28</v>
      </c>
      <c r="H77" s="4"/>
    </row>
    <row r="78" customFormat="false" ht="15" hidden="false" customHeight="true" outlineLevel="0" collapsed="false">
      <c r="A78" s="3" t="s">
        <v>226</v>
      </c>
      <c r="B78" s="4" t="s">
        <v>174</v>
      </c>
      <c r="C78" s="4" t="s">
        <v>227</v>
      </c>
      <c r="D78" s="8" t="s">
        <v>25</v>
      </c>
      <c r="E78" s="4" t="s">
        <v>44</v>
      </c>
      <c r="F78" s="4" t="s">
        <v>27</v>
      </c>
      <c r="G78" s="4" t="s">
        <v>28</v>
      </c>
      <c r="H78" s="4"/>
    </row>
    <row r="79" customFormat="false" ht="15" hidden="false" customHeight="true" outlineLevel="0" collapsed="false">
      <c r="A79" s="3" t="s">
        <v>228</v>
      </c>
      <c r="B79" s="4" t="s">
        <v>174</v>
      </c>
      <c r="C79" s="4" t="s">
        <v>229</v>
      </c>
      <c r="D79" s="8" t="s">
        <v>25</v>
      </c>
      <c r="E79" s="4" t="s">
        <v>176</v>
      </c>
      <c r="F79" s="6" t="s">
        <v>13</v>
      </c>
      <c r="G79" s="7" t="s">
        <v>14</v>
      </c>
      <c r="H79" s="4" t="s">
        <v>230</v>
      </c>
    </row>
    <row r="80" customFormat="false" ht="15" hidden="false" customHeight="true" outlineLevel="0" collapsed="false">
      <c r="A80" s="3" t="s">
        <v>231</v>
      </c>
      <c r="B80" s="4" t="s">
        <v>174</v>
      </c>
      <c r="C80" s="4" t="s">
        <v>232</v>
      </c>
      <c r="D80" s="8" t="s">
        <v>25</v>
      </c>
      <c r="E80" s="4" t="s">
        <v>176</v>
      </c>
      <c r="F80" s="4" t="s">
        <v>27</v>
      </c>
      <c r="G80" s="4" t="s">
        <v>28</v>
      </c>
      <c r="H80" s="4"/>
    </row>
    <row r="81" customFormat="false" ht="15" hidden="false" customHeight="true" outlineLevel="0" collapsed="false">
      <c r="A81" s="3" t="s">
        <v>233</v>
      </c>
      <c r="B81" s="4" t="s">
        <v>174</v>
      </c>
      <c r="C81" s="4" t="s">
        <v>234</v>
      </c>
      <c r="D81" s="8" t="s">
        <v>25</v>
      </c>
      <c r="E81" s="4" t="s">
        <v>44</v>
      </c>
      <c r="F81" s="4" t="s">
        <v>27</v>
      </c>
      <c r="G81" s="4" t="s">
        <v>28</v>
      </c>
      <c r="H81" s="4"/>
    </row>
    <row r="82" customFormat="false" ht="15" hidden="false" customHeight="true" outlineLevel="0" collapsed="false">
      <c r="A82" s="3" t="s">
        <v>235</v>
      </c>
      <c r="B82" s="4" t="s">
        <v>174</v>
      </c>
      <c r="C82" s="4" t="s">
        <v>236</v>
      </c>
      <c r="D82" s="8" t="s">
        <v>25</v>
      </c>
      <c r="E82" s="4" t="s">
        <v>176</v>
      </c>
      <c r="F82" s="11" t="s">
        <v>130</v>
      </c>
      <c r="G82" s="4" t="s">
        <v>28</v>
      </c>
      <c r="H82" s="4" t="s">
        <v>237</v>
      </c>
    </row>
    <row r="83" customFormat="false" ht="15" hidden="false" customHeight="true" outlineLevel="0" collapsed="false">
      <c r="A83" s="3" t="s">
        <v>238</v>
      </c>
      <c r="B83" s="4" t="s">
        <v>174</v>
      </c>
      <c r="C83" s="4" t="s">
        <v>239</v>
      </c>
      <c r="D83" s="8" t="s">
        <v>25</v>
      </c>
      <c r="E83" s="4" t="s">
        <v>240</v>
      </c>
      <c r="F83" s="4" t="s">
        <v>27</v>
      </c>
      <c r="G83" s="4" t="s">
        <v>28</v>
      </c>
      <c r="H83" s="4"/>
    </row>
    <row r="84" customFormat="false" ht="15" hidden="false" customHeight="true" outlineLevel="0" collapsed="false">
      <c r="A84" s="3" t="s">
        <v>241</v>
      </c>
      <c r="B84" s="4" t="s">
        <v>174</v>
      </c>
      <c r="C84" s="4" t="s">
        <v>242</v>
      </c>
      <c r="D84" s="9" t="s">
        <v>44</v>
      </c>
      <c r="E84" s="4" t="s">
        <v>44</v>
      </c>
      <c r="F84" s="4" t="s">
        <v>27</v>
      </c>
      <c r="G84" s="4" t="s">
        <v>28</v>
      </c>
      <c r="H84" s="4"/>
    </row>
    <row r="85" customFormat="false" ht="15" hidden="false" customHeight="true" outlineLevel="0" collapsed="false">
      <c r="A85" s="3" t="s">
        <v>243</v>
      </c>
      <c r="B85" s="4" t="s">
        <v>174</v>
      </c>
      <c r="C85" s="4" t="s">
        <v>244</v>
      </c>
      <c r="D85" s="9" t="s">
        <v>44</v>
      </c>
      <c r="E85" s="4" t="s">
        <v>176</v>
      </c>
      <c r="F85" s="4" t="s">
        <v>27</v>
      </c>
      <c r="G85" s="4" t="s">
        <v>28</v>
      </c>
      <c r="H85" s="4"/>
    </row>
    <row r="86" customFormat="false" ht="15" hidden="false" customHeight="true" outlineLevel="0" collapsed="false">
      <c r="A86" s="3" t="s">
        <v>245</v>
      </c>
      <c r="B86" s="4" t="s">
        <v>174</v>
      </c>
      <c r="C86" s="4" t="s">
        <v>246</v>
      </c>
      <c r="D86" s="9" t="s">
        <v>44</v>
      </c>
      <c r="E86" s="4" t="s">
        <v>176</v>
      </c>
      <c r="F86" s="4" t="s">
        <v>27</v>
      </c>
      <c r="G86" s="4" t="s">
        <v>28</v>
      </c>
      <c r="H86" s="4"/>
    </row>
    <row r="87" customFormat="false" ht="15" hidden="false" customHeight="true" outlineLevel="0" collapsed="false">
      <c r="A87" s="3" t="s">
        <v>247</v>
      </c>
      <c r="B87" s="4" t="s">
        <v>174</v>
      </c>
      <c r="C87" s="4" t="s">
        <v>248</v>
      </c>
      <c r="D87" s="9" t="s">
        <v>44</v>
      </c>
      <c r="E87" s="4" t="s">
        <v>176</v>
      </c>
      <c r="F87" s="4" t="s">
        <v>27</v>
      </c>
      <c r="G87" s="4" t="s">
        <v>28</v>
      </c>
      <c r="H87" s="4"/>
    </row>
    <row r="88" customFormat="false" ht="15" hidden="false" customHeight="true" outlineLevel="0" collapsed="false">
      <c r="A88" s="3" t="s">
        <v>249</v>
      </c>
      <c r="B88" s="4" t="s">
        <v>174</v>
      </c>
      <c r="C88" s="4" t="s">
        <v>250</v>
      </c>
      <c r="D88" s="9" t="s">
        <v>44</v>
      </c>
      <c r="E88" s="4" t="s">
        <v>44</v>
      </c>
      <c r="F88" s="4" t="s">
        <v>27</v>
      </c>
      <c r="G88" s="4" t="s">
        <v>28</v>
      </c>
      <c r="H88" s="4"/>
    </row>
    <row r="89" customFormat="false" ht="15" hidden="false" customHeight="true" outlineLevel="0" collapsed="false">
      <c r="A89" s="3" t="s">
        <v>251</v>
      </c>
      <c r="B89" s="4" t="s">
        <v>174</v>
      </c>
      <c r="C89" s="4" t="s">
        <v>252</v>
      </c>
      <c r="D89" s="9" t="s">
        <v>44</v>
      </c>
      <c r="E89" s="4" t="s">
        <v>176</v>
      </c>
      <c r="F89" s="6" t="s">
        <v>13</v>
      </c>
      <c r="G89" s="7" t="s">
        <v>14</v>
      </c>
      <c r="H89" s="4" t="s">
        <v>253</v>
      </c>
    </row>
    <row r="90" customFormat="false" ht="23.25" hidden="false" customHeight="true" outlineLevel="0" collapsed="false">
      <c r="A90" s="3" t="s">
        <v>254</v>
      </c>
      <c r="B90" s="4" t="s">
        <v>255</v>
      </c>
      <c r="C90" s="4" t="s">
        <v>256</v>
      </c>
      <c r="D90" s="5" t="s">
        <v>11</v>
      </c>
      <c r="E90" s="4" t="s">
        <v>257</v>
      </c>
      <c r="F90" s="6" t="s">
        <v>13</v>
      </c>
      <c r="G90" s="7" t="s">
        <v>14</v>
      </c>
      <c r="H90" s="4" t="s">
        <v>258</v>
      </c>
    </row>
    <row r="91" customFormat="false" ht="23.25" hidden="false" customHeight="true" outlineLevel="0" collapsed="false">
      <c r="A91" s="3" t="s">
        <v>259</v>
      </c>
      <c r="B91" s="4" t="s">
        <v>255</v>
      </c>
      <c r="C91" s="4" t="s">
        <v>260</v>
      </c>
      <c r="D91" s="5" t="s">
        <v>11</v>
      </c>
      <c r="E91" s="4" t="s">
        <v>257</v>
      </c>
      <c r="F91" s="6" t="s">
        <v>13</v>
      </c>
      <c r="G91" s="7" t="s">
        <v>14</v>
      </c>
      <c r="H91" s="4" t="s">
        <v>261</v>
      </c>
    </row>
    <row r="92" customFormat="false" ht="15" hidden="false" customHeight="true" outlineLevel="0" collapsed="false">
      <c r="A92" s="3" t="s">
        <v>262</v>
      </c>
      <c r="B92" s="4" t="s">
        <v>255</v>
      </c>
      <c r="C92" s="4" t="s">
        <v>263</v>
      </c>
      <c r="D92" s="5" t="s">
        <v>11</v>
      </c>
      <c r="E92" s="4" t="s">
        <v>54</v>
      </c>
      <c r="F92" s="4" t="s">
        <v>27</v>
      </c>
      <c r="G92" s="4" t="s">
        <v>28</v>
      </c>
      <c r="H92" s="4"/>
    </row>
    <row r="93" customFormat="false" ht="15" hidden="false" customHeight="true" outlineLevel="0" collapsed="false">
      <c r="A93" s="3" t="s">
        <v>264</v>
      </c>
      <c r="B93" s="4" t="s">
        <v>255</v>
      </c>
      <c r="C93" s="4" t="s">
        <v>265</v>
      </c>
      <c r="D93" s="5" t="s">
        <v>11</v>
      </c>
      <c r="E93" s="4" t="s">
        <v>18</v>
      </c>
      <c r="F93" s="6" t="s">
        <v>13</v>
      </c>
      <c r="G93" s="7" t="s">
        <v>14</v>
      </c>
      <c r="H93" s="4" t="s">
        <v>266</v>
      </c>
    </row>
    <row r="94" customFormat="false" ht="15" hidden="false" customHeight="true" outlineLevel="0" collapsed="false">
      <c r="A94" s="3" t="s">
        <v>267</v>
      </c>
      <c r="B94" s="4" t="s">
        <v>255</v>
      </c>
      <c r="C94" s="4" t="s">
        <v>268</v>
      </c>
      <c r="D94" s="5" t="s">
        <v>11</v>
      </c>
      <c r="E94" s="4" t="s">
        <v>269</v>
      </c>
      <c r="F94" s="4" t="s">
        <v>27</v>
      </c>
      <c r="G94" s="4" t="s">
        <v>28</v>
      </c>
      <c r="H94" s="4"/>
    </row>
    <row r="95" customFormat="false" ht="15" hidden="false" customHeight="true" outlineLevel="0" collapsed="false">
      <c r="A95" s="3" t="s">
        <v>270</v>
      </c>
      <c r="B95" s="4" t="s">
        <v>255</v>
      </c>
      <c r="C95" s="4" t="s">
        <v>271</v>
      </c>
      <c r="D95" s="8" t="s">
        <v>25</v>
      </c>
      <c r="E95" s="4" t="s">
        <v>257</v>
      </c>
      <c r="F95" s="4" t="s">
        <v>27</v>
      </c>
      <c r="G95" s="4" t="s">
        <v>28</v>
      </c>
      <c r="H95" s="4"/>
    </row>
    <row r="96" customFormat="false" ht="15" hidden="false" customHeight="true" outlineLevel="0" collapsed="false">
      <c r="A96" s="3" t="s">
        <v>272</v>
      </c>
      <c r="B96" s="4" t="s">
        <v>255</v>
      </c>
      <c r="C96" s="4" t="s">
        <v>273</v>
      </c>
      <c r="D96" s="8" t="s">
        <v>25</v>
      </c>
      <c r="E96" s="4" t="s">
        <v>26</v>
      </c>
      <c r="F96" s="4" t="s">
        <v>27</v>
      </c>
      <c r="G96" s="4" t="s">
        <v>28</v>
      </c>
      <c r="H96" s="4"/>
    </row>
    <row r="97" customFormat="false" ht="15" hidden="false" customHeight="true" outlineLevel="0" collapsed="false">
      <c r="A97" s="3" t="s">
        <v>274</v>
      </c>
      <c r="B97" s="4" t="s">
        <v>255</v>
      </c>
      <c r="C97" s="4" t="s">
        <v>275</v>
      </c>
      <c r="D97" s="8" t="s">
        <v>25</v>
      </c>
      <c r="E97" s="4" t="s">
        <v>26</v>
      </c>
      <c r="F97" s="4" t="s">
        <v>27</v>
      </c>
      <c r="G97" s="4" t="s">
        <v>28</v>
      </c>
      <c r="H97" s="4"/>
    </row>
    <row r="98" customFormat="false" ht="23.25" hidden="false" customHeight="true" outlineLevel="0" collapsed="false">
      <c r="A98" s="3" t="s">
        <v>276</v>
      </c>
      <c r="B98" s="4" t="s">
        <v>255</v>
      </c>
      <c r="C98" s="4" t="s">
        <v>277</v>
      </c>
      <c r="D98" s="8" t="s">
        <v>25</v>
      </c>
      <c r="E98" s="4" t="s">
        <v>278</v>
      </c>
      <c r="F98" s="6" t="s">
        <v>13</v>
      </c>
      <c r="G98" s="7" t="s">
        <v>14</v>
      </c>
      <c r="H98" s="4" t="s">
        <v>279</v>
      </c>
    </row>
    <row r="99" customFormat="false" ht="15" hidden="false" customHeight="true" outlineLevel="0" collapsed="false">
      <c r="A99" s="3" t="s">
        <v>280</v>
      </c>
      <c r="B99" s="4" t="s">
        <v>255</v>
      </c>
      <c r="C99" s="4" t="s">
        <v>281</v>
      </c>
      <c r="D99" s="8" t="s">
        <v>25</v>
      </c>
      <c r="E99" s="4" t="s">
        <v>257</v>
      </c>
      <c r="F99" s="4" t="s">
        <v>27</v>
      </c>
      <c r="G99" s="4" t="s">
        <v>28</v>
      </c>
      <c r="H99" s="4"/>
    </row>
    <row r="100" customFormat="false" ht="15" hidden="false" customHeight="true" outlineLevel="0" collapsed="false">
      <c r="A100" s="3" t="s">
        <v>282</v>
      </c>
      <c r="B100" s="4" t="s">
        <v>255</v>
      </c>
      <c r="C100" s="4" t="s">
        <v>283</v>
      </c>
      <c r="D100" s="8" t="s">
        <v>25</v>
      </c>
      <c r="E100" s="4" t="s">
        <v>284</v>
      </c>
      <c r="F100" s="4" t="s">
        <v>27</v>
      </c>
      <c r="G100" s="4" t="s">
        <v>28</v>
      </c>
      <c r="H100" s="4"/>
    </row>
    <row r="101" customFormat="false" ht="34.5" hidden="false" customHeight="true" outlineLevel="0" collapsed="false">
      <c r="A101" s="3" t="s">
        <v>285</v>
      </c>
      <c r="B101" s="4" t="s">
        <v>255</v>
      </c>
      <c r="C101" s="4" t="s">
        <v>286</v>
      </c>
      <c r="D101" s="8" t="s">
        <v>25</v>
      </c>
      <c r="E101" s="4" t="s">
        <v>278</v>
      </c>
      <c r="F101" s="11" t="s">
        <v>130</v>
      </c>
      <c r="G101" s="7" t="s">
        <v>14</v>
      </c>
      <c r="H101" s="4" t="s">
        <v>287</v>
      </c>
    </row>
    <row r="102" customFormat="false" ht="15" hidden="false" customHeight="true" outlineLevel="0" collapsed="false">
      <c r="A102" s="3" t="s">
        <v>288</v>
      </c>
      <c r="B102" s="4" t="s">
        <v>255</v>
      </c>
      <c r="C102" s="4" t="s">
        <v>289</v>
      </c>
      <c r="D102" s="8" t="s">
        <v>25</v>
      </c>
      <c r="E102" s="4" t="s">
        <v>257</v>
      </c>
      <c r="F102" s="4" t="s">
        <v>27</v>
      </c>
      <c r="G102" s="4" t="s">
        <v>28</v>
      </c>
      <c r="H102" s="4"/>
    </row>
    <row r="103" customFormat="false" ht="15" hidden="false" customHeight="true" outlineLevel="0" collapsed="false">
      <c r="A103" s="3" t="s">
        <v>290</v>
      </c>
      <c r="B103" s="4" t="s">
        <v>255</v>
      </c>
      <c r="C103" s="4" t="s">
        <v>291</v>
      </c>
      <c r="D103" s="9" t="s">
        <v>44</v>
      </c>
      <c r="E103" s="4" t="s">
        <v>26</v>
      </c>
      <c r="F103" s="4" t="s">
        <v>27</v>
      </c>
      <c r="G103" s="4" t="s">
        <v>28</v>
      </c>
      <c r="H103" s="4"/>
    </row>
    <row r="104" customFormat="false" ht="15" hidden="false" customHeight="true" outlineLevel="0" collapsed="false">
      <c r="A104" s="3" t="s">
        <v>292</v>
      </c>
      <c r="B104" s="4" t="s">
        <v>255</v>
      </c>
      <c r="C104" s="4" t="s">
        <v>293</v>
      </c>
      <c r="D104" s="9" t="s">
        <v>44</v>
      </c>
      <c r="E104" s="4" t="s">
        <v>26</v>
      </c>
      <c r="F104" s="4" t="s">
        <v>27</v>
      </c>
      <c r="G104" s="4" t="s">
        <v>28</v>
      </c>
      <c r="H104" s="4"/>
    </row>
    <row r="105" customFormat="false" ht="15" hidden="false" customHeight="true" outlineLevel="0" collapsed="false">
      <c r="A105" s="3" t="s">
        <v>294</v>
      </c>
      <c r="B105" s="4" t="s">
        <v>255</v>
      </c>
      <c r="C105" s="4" t="s">
        <v>295</v>
      </c>
      <c r="D105" s="9" t="s">
        <v>44</v>
      </c>
      <c r="E105" s="4" t="s">
        <v>257</v>
      </c>
      <c r="F105" s="4" t="s">
        <v>27</v>
      </c>
      <c r="G105" s="4" t="s">
        <v>28</v>
      </c>
      <c r="H105" s="4"/>
    </row>
    <row r="106" customFormat="false" ht="15" hidden="false" customHeight="true" outlineLevel="0" collapsed="false">
      <c r="A106" s="3" t="s">
        <v>296</v>
      </c>
      <c r="B106" s="4" t="s">
        <v>255</v>
      </c>
      <c r="C106" s="4" t="s">
        <v>297</v>
      </c>
      <c r="D106" s="9" t="s">
        <v>44</v>
      </c>
      <c r="E106" s="4" t="s">
        <v>257</v>
      </c>
      <c r="F106" s="4" t="s">
        <v>27</v>
      </c>
      <c r="G106" s="4" t="s">
        <v>28</v>
      </c>
      <c r="H106" s="4"/>
    </row>
    <row r="107" customFormat="false" ht="15" hidden="false" customHeight="true" outlineLevel="0" collapsed="false">
      <c r="A107" s="3" t="s">
        <v>298</v>
      </c>
      <c r="B107" s="4" t="s">
        <v>255</v>
      </c>
      <c r="C107" s="4" t="s">
        <v>299</v>
      </c>
      <c r="D107" s="9" t="s">
        <v>44</v>
      </c>
      <c r="E107" s="4" t="s">
        <v>257</v>
      </c>
      <c r="F107" s="4" t="s">
        <v>27</v>
      </c>
      <c r="G107" s="4" t="s">
        <v>28</v>
      </c>
      <c r="H107" s="4"/>
    </row>
    <row r="108" customFormat="false" ht="15" hidden="false" customHeight="true" outlineLevel="0" collapsed="false">
      <c r="A108" s="3" t="s">
        <v>300</v>
      </c>
      <c r="B108" s="4" t="s">
        <v>255</v>
      </c>
      <c r="C108" s="4" t="s">
        <v>301</v>
      </c>
      <c r="D108" s="9" t="s">
        <v>44</v>
      </c>
      <c r="E108" s="4" t="s">
        <v>257</v>
      </c>
      <c r="F108" s="4" t="s">
        <v>27</v>
      </c>
      <c r="G108" s="4" t="s">
        <v>28</v>
      </c>
      <c r="H108" s="4"/>
    </row>
    <row r="109" customFormat="false" ht="15" hidden="false" customHeight="true" outlineLevel="0" collapsed="false">
      <c r="A109" s="3" t="s">
        <v>302</v>
      </c>
      <c r="B109" s="4" t="s">
        <v>255</v>
      </c>
      <c r="C109" s="4" t="s">
        <v>303</v>
      </c>
      <c r="D109" s="9" t="s">
        <v>44</v>
      </c>
      <c r="E109" s="4" t="s">
        <v>257</v>
      </c>
      <c r="F109" s="4" t="s">
        <v>27</v>
      </c>
      <c r="G109" s="4" t="s">
        <v>28</v>
      </c>
      <c r="H109" s="4"/>
    </row>
    <row r="110" customFormat="false" ht="15" hidden="false" customHeight="true" outlineLevel="0" collapsed="false">
      <c r="A110" s="3" t="s">
        <v>304</v>
      </c>
      <c r="B110" s="4" t="s">
        <v>255</v>
      </c>
      <c r="C110" s="4" t="s">
        <v>305</v>
      </c>
      <c r="D110" s="9" t="s">
        <v>44</v>
      </c>
      <c r="E110" s="4" t="s">
        <v>257</v>
      </c>
      <c r="F110" s="4" t="s">
        <v>27</v>
      </c>
      <c r="G110" s="4" t="s">
        <v>28</v>
      </c>
      <c r="H110" s="4"/>
    </row>
    <row r="111" customFormat="false" ht="15" hidden="false" customHeight="true" outlineLevel="0" collapsed="false">
      <c r="A111" s="3" t="s">
        <v>306</v>
      </c>
      <c r="B111" s="4" t="s">
        <v>255</v>
      </c>
      <c r="C111" s="4" t="s">
        <v>307</v>
      </c>
      <c r="D111" s="9" t="s">
        <v>44</v>
      </c>
      <c r="E111" s="4" t="s">
        <v>26</v>
      </c>
      <c r="F111" s="4" t="s">
        <v>27</v>
      </c>
      <c r="G111" s="4" t="s">
        <v>28</v>
      </c>
      <c r="H111" s="4"/>
    </row>
    <row r="112" customFormat="false" ht="15" hidden="false" customHeight="true" outlineLevel="0" collapsed="false">
      <c r="A112" s="3" t="s">
        <v>308</v>
      </c>
      <c r="B112" s="4" t="s">
        <v>255</v>
      </c>
      <c r="C112" s="4" t="s">
        <v>309</v>
      </c>
      <c r="D112" s="9" t="s">
        <v>44</v>
      </c>
      <c r="E112" s="4" t="s">
        <v>257</v>
      </c>
      <c r="F112" s="4" t="s">
        <v>27</v>
      </c>
      <c r="G112" s="4" t="s">
        <v>28</v>
      </c>
      <c r="H112" s="4"/>
    </row>
    <row r="113" customFormat="false" ht="15" hidden="false" customHeight="true" outlineLevel="0" collapsed="false">
      <c r="A113" s="3" t="s">
        <v>310</v>
      </c>
      <c r="B113" s="4" t="s">
        <v>255</v>
      </c>
      <c r="C113" s="4" t="s">
        <v>311</v>
      </c>
      <c r="D113" s="9" t="s">
        <v>44</v>
      </c>
      <c r="E113" s="4" t="s">
        <v>284</v>
      </c>
      <c r="F113" s="4" t="s">
        <v>27</v>
      </c>
      <c r="G113" s="4" t="s">
        <v>28</v>
      </c>
      <c r="H113" s="4"/>
    </row>
    <row r="114" customFormat="false" ht="15" hidden="false" customHeight="true" outlineLevel="0" collapsed="false">
      <c r="A114" s="3" t="s">
        <v>312</v>
      </c>
      <c r="B114" s="4" t="s">
        <v>255</v>
      </c>
      <c r="C114" s="4" t="s">
        <v>313</v>
      </c>
      <c r="D114" s="9" t="s">
        <v>44</v>
      </c>
      <c r="E114" s="4" t="s">
        <v>314</v>
      </c>
      <c r="F114" s="4" t="s">
        <v>27</v>
      </c>
      <c r="G114" s="4" t="s">
        <v>28</v>
      </c>
      <c r="H114" s="4"/>
    </row>
    <row r="115" customFormat="false" ht="15" hidden="false" customHeight="true" outlineLevel="0" collapsed="false">
      <c r="A115" s="3" t="s">
        <v>315</v>
      </c>
      <c r="B115" s="4" t="s">
        <v>255</v>
      </c>
      <c r="C115" s="4" t="s">
        <v>316</v>
      </c>
      <c r="D115" s="9" t="s">
        <v>44</v>
      </c>
      <c r="E115" s="4" t="s">
        <v>278</v>
      </c>
      <c r="F115" s="4" t="s">
        <v>27</v>
      </c>
      <c r="G115" s="4" t="s">
        <v>28</v>
      </c>
      <c r="H115" s="4"/>
    </row>
    <row r="116" customFormat="false" ht="15" hidden="false" customHeight="true" outlineLevel="0" collapsed="false">
      <c r="A116" s="3" t="s">
        <v>317</v>
      </c>
      <c r="B116" s="4" t="s">
        <v>255</v>
      </c>
      <c r="C116" s="4" t="s">
        <v>318</v>
      </c>
      <c r="D116" s="10" t="s">
        <v>69</v>
      </c>
      <c r="E116" s="4" t="s">
        <v>284</v>
      </c>
      <c r="F116" s="4" t="s">
        <v>27</v>
      </c>
      <c r="G116" s="4" t="s">
        <v>28</v>
      </c>
      <c r="H116" s="4"/>
    </row>
    <row r="117" customFormat="false" ht="15" hidden="false" customHeight="true" outlineLevel="0" collapsed="false">
      <c r="A117" s="3" t="s">
        <v>319</v>
      </c>
      <c r="B117" s="4" t="s">
        <v>255</v>
      </c>
      <c r="C117" s="4" t="s">
        <v>320</v>
      </c>
      <c r="D117" s="10" t="s">
        <v>69</v>
      </c>
      <c r="E117" s="4" t="s">
        <v>257</v>
      </c>
      <c r="F117" s="4" t="s">
        <v>27</v>
      </c>
      <c r="G117" s="4" t="s">
        <v>28</v>
      </c>
      <c r="H117" s="4"/>
    </row>
    <row r="118" customFormat="false" ht="15" hidden="false" customHeight="true" outlineLevel="0" collapsed="false">
      <c r="A118" s="3" t="s">
        <v>321</v>
      </c>
      <c r="B118" s="4" t="s">
        <v>255</v>
      </c>
      <c r="C118" s="4" t="s">
        <v>322</v>
      </c>
      <c r="D118" s="10" t="s">
        <v>69</v>
      </c>
      <c r="E118" s="4" t="s">
        <v>257</v>
      </c>
      <c r="F118" s="4" t="s">
        <v>27</v>
      </c>
      <c r="G118" s="4" t="s">
        <v>28</v>
      </c>
      <c r="H118" s="4"/>
    </row>
    <row r="119" customFormat="false" ht="23.25" hidden="false" customHeight="true" outlineLevel="0" collapsed="false">
      <c r="A119" s="3" t="s">
        <v>323</v>
      </c>
      <c r="B119" s="4" t="s">
        <v>255</v>
      </c>
      <c r="C119" s="4" t="s">
        <v>324</v>
      </c>
      <c r="D119" s="10" t="s">
        <v>69</v>
      </c>
      <c r="E119" s="4" t="s">
        <v>325</v>
      </c>
      <c r="F119" s="12" t="s">
        <v>326</v>
      </c>
      <c r="G119" s="4" t="s">
        <v>28</v>
      </c>
      <c r="H119" s="4"/>
    </row>
    <row r="120" customFormat="false" ht="23.25" hidden="false" customHeight="true" outlineLevel="0" collapsed="false">
      <c r="A120" s="3" t="s">
        <v>327</v>
      </c>
      <c r="B120" s="4" t="s">
        <v>328</v>
      </c>
      <c r="C120" s="4" t="s">
        <v>329</v>
      </c>
      <c r="D120" s="5" t="s">
        <v>11</v>
      </c>
      <c r="E120" s="4" t="s">
        <v>54</v>
      </c>
      <c r="F120" s="4" t="s">
        <v>27</v>
      </c>
      <c r="G120" s="7" t="s">
        <v>14</v>
      </c>
      <c r="H120" s="4" t="s">
        <v>330</v>
      </c>
    </row>
    <row r="121" customFormat="false" ht="15" hidden="false" customHeight="true" outlineLevel="0" collapsed="false">
      <c r="A121" s="3" t="s">
        <v>331</v>
      </c>
      <c r="B121" s="4" t="s">
        <v>328</v>
      </c>
      <c r="C121" s="4" t="s">
        <v>332</v>
      </c>
      <c r="D121" s="5" t="s">
        <v>11</v>
      </c>
      <c r="E121" s="4" t="s">
        <v>54</v>
      </c>
      <c r="F121" s="4" t="s">
        <v>27</v>
      </c>
      <c r="G121" s="4" t="s">
        <v>28</v>
      </c>
      <c r="H121" s="4"/>
    </row>
    <row r="122" customFormat="false" ht="23.25" hidden="false" customHeight="true" outlineLevel="0" collapsed="false">
      <c r="A122" s="3" t="s">
        <v>333</v>
      </c>
      <c r="B122" s="4" t="s">
        <v>328</v>
      </c>
      <c r="C122" s="4" t="s">
        <v>334</v>
      </c>
      <c r="D122" s="5" t="s">
        <v>11</v>
      </c>
      <c r="E122" s="4" t="s">
        <v>176</v>
      </c>
      <c r="F122" s="6" t="s">
        <v>13</v>
      </c>
      <c r="G122" s="7" t="s">
        <v>14</v>
      </c>
      <c r="H122" s="4" t="s">
        <v>335</v>
      </c>
    </row>
    <row r="123" customFormat="false" ht="15" hidden="false" customHeight="true" outlineLevel="0" collapsed="false">
      <c r="A123" s="3" t="s">
        <v>336</v>
      </c>
      <c r="B123" s="4" t="s">
        <v>328</v>
      </c>
      <c r="C123" s="4" t="s">
        <v>337</v>
      </c>
      <c r="D123" s="8" t="s">
        <v>25</v>
      </c>
      <c r="E123" s="4" t="s">
        <v>338</v>
      </c>
      <c r="F123" s="4" t="s">
        <v>27</v>
      </c>
      <c r="G123" s="4" t="s">
        <v>28</v>
      </c>
      <c r="H123" s="4"/>
    </row>
    <row r="124" customFormat="false" ht="15" hidden="false" customHeight="true" outlineLevel="0" collapsed="false">
      <c r="A124" s="3" t="s">
        <v>339</v>
      </c>
      <c r="B124" s="4" t="s">
        <v>328</v>
      </c>
      <c r="C124" s="4" t="s">
        <v>340</v>
      </c>
      <c r="D124" s="8" t="s">
        <v>25</v>
      </c>
      <c r="E124" s="4" t="s">
        <v>54</v>
      </c>
      <c r="F124" s="4" t="s">
        <v>27</v>
      </c>
      <c r="G124" s="4" t="s">
        <v>28</v>
      </c>
      <c r="H124" s="4"/>
    </row>
    <row r="125" customFormat="false" ht="15" hidden="false" customHeight="true" outlineLevel="0" collapsed="false">
      <c r="A125" s="3" t="s">
        <v>341</v>
      </c>
      <c r="B125" s="4" t="s">
        <v>328</v>
      </c>
      <c r="C125" s="4" t="s">
        <v>342</v>
      </c>
      <c r="D125" s="8" t="s">
        <v>25</v>
      </c>
      <c r="E125" s="4" t="s">
        <v>176</v>
      </c>
      <c r="F125" s="4" t="s">
        <v>27</v>
      </c>
      <c r="G125" s="4" t="s">
        <v>28</v>
      </c>
      <c r="H125" s="4"/>
    </row>
    <row r="126" customFormat="false" ht="15" hidden="false" customHeight="true" outlineLevel="0" collapsed="false">
      <c r="A126" s="3" t="s">
        <v>343</v>
      </c>
      <c r="B126" s="4" t="s">
        <v>328</v>
      </c>
      <c r="C126" s="4" t="s">
        <v>344</v>
      </c>
      <c r="D126" s="8" t="s">
        <v>25</v>
      </c>
      <c r="E126" s="4" t="s">
        <v>176</v>
      </c>
      <c r="F126" s="4" t="s">
        <v>27</v>
      </c>
      <c r="G126" s="4" t="s">
        <v>28</v>
      </c>
      <c r="H126" s="4"/>
    </row>
    <row r="127" customFormat="false" ht="15" hidden="false" customHeight="true" outlineLevel="0" collapsed="false">
      <c r="A127" s="3" t="s">
        <v>345</v>
      </c>
      <c r="B127" s="4" t="s">
        <v>328</v>
      </c>
      <c r="C127" s="4" t="s">
        <v>346</v>
      </c>
      <c r="D127" s="8" t="s">
        <v>25</v>
      </c>
      <c r="E127" s="4" t="s">
        <v>176</v>
      </c>
      <c r="F127" s="4" t="s">
        <v>27</v>
      </c>
      <c r="G127" s="4" t="s">
        <v>28</v>
      </c>
      <c r="H127" s="4"/>
    </row>
    <row r="128" customFormat="false" ht="15" hidden="false" customHeight="true" outlineLevel="0" collapsed="false">
      <c r="A128" s="3" t="s">
        <v>347</v>
      </c>
      <c r="B128" s="4" t="s">
        <v>328</v>
      </c>
      <c r="C128" s="4" t="s">
        <v>348</v>
      </c>
      <c r="D128" s="8" t="s">
        <v>25</v>
      </c>
      <c r="E128" s="4" t="s">
        <v>176</v>
      </c>
      <c r="F128" s="4" t="s">
        <v>27</v>
      </c>
      <c r="G128" s="4" t="s">
        <v>28</v>
      </c>
      <c r="H128" s="4"/>
    </row>
    <row r="129" customFormat="false" ht="15" hidden="false" customHeight="true" outlineLevel="0" collapsed="false">
      <c r="A129" s="3" t="s">
        <v>349</v>
      </c>
      <c r="B129" s="4" t="s">
        <v>328</v>
      </c>
      <c r="C129" s="4" t="s">
        <v>350</v>
      </c>
      <c r="D129" s="8" t="s">
        <v>25</v>
      </c>
      <c r="E129" s="4" t="s">
        <v>176</v>
      </c>
      <c r="F129" s="4" t="s">
        <v>27</v>
      </c>
      <c r="G129" s="4" t="s">
        <v>28</v>
      </c>
      <c r="H129" s="4"/>
    </row>
    <row r="130" customFormat="false" ht="15" hidden="false" customHeight="true" outlineLevel="0" collapsed="false">
      <c r="A130" s="3" t="s">
        <v>351</v>
      </c>
      <c r="B130" s="4" t="s">
        <v>328</v>
      </c>
      <c r="C130" s="4" t="s">
        <v>352</v>
      </c>
      <c r="D130" s="8" t="s">
        <v>25</v>
      </c>
      <c r="E130" s="4" t="s">
        <v>54</v>
      </c>
      <c r="F130" s="4" t="s">
        <v>27</v>
      </c>
      <c r="G130" s="4" t="s">
        <v>28</v>
      </c>
      <c r="H130" s="4"/>
    </row>
    <row r="131" customFormat="false" ht="15" hidden="false" customHeight="true" outlineLevel="0" collapsed="false">
      <c r="A131" s="3" t="s">
        <v>353</v>
      </c>
      <c r="B131" s="4" t="s">
        <v>328</v>
      </c>
      <c r="C131" s="4" t="s">
        <v>354</v>
      </c>
      <c r="D131" s="8" t="s">
        <v>25</v>
      </c>
      <c r="E131" s="4" t="s">
        <v>54</v>
      </c>
      <c r="F131" s="4" t="s">
        <v>27</v>
      </c>
      <c r="G131" s="4" t="s">
        <v>28</v>
      </c>
      <c r="H131" s="4"/>
    </row>
    <row r="132" customFormat="false" ht="15" hidden="false" customHeight="true" outlineLevel="0" collapsed="false">
      <c r="A132" s="3" t="s">
        <v>355</v>
      </c>
      <c r="B132" s="4" t="s">
        <v>328</v>
      </c>
      <c r="C132" s="4" t="s">
        <v>356</v>
      </c>
      <c r="D132" s="9" t="s">
        <v>44</v>
      </c>
      <c r="E132" s="4" t="s">
        <v>54</v>
      </c>
      <c r="F132" s="4" t="s">
        <v>27</v>
      </c>
      <c r="G132" s="4" t="s">
        <v>28</v>
      </c>
      <c r="H132" s="4"/>
    </row>
    <row r="133" customFormat="false" ht="15" hidden="false" customHeight="true" outlineLevel="0" collapsed="false">
      <c r="A133" s="3" t="s">
        <v>357</v>
      </c>
      <c r="B133" s="4" t="s">
        <v>328</v>
      </c>
      <c r="C133" s="4" t="s">
        <v>358</v>
      </c>
      <c r="D133" s="9" t="s">
        <v>44</v>
      </c>
      <c r="E133" s="4" t="s">
        <v>176</v>
      </c>
      <c r="F133" s="4" t="s">
        <v>27</v>
      </c>
      <c r="G133" s="4" t="s">
        <v>28</v>
      </c>
      <c r="H133" s="4"/>
    </row>
    <row r="134" customFormat="false" ht="15" hidden="false" customHeight="true" outlineLevel="0" collapsed="false">
      <c r="A134" s="3" t="s">
        <v>359</v>
      </c>
      <c r="B134" s="4" t="s">
        <v>328</v>
      </c>
      <c r="C134" s="4" t="s">
        <v>360</v>
      </c>
      <c r="D134" s="9" t="s">
        <v>44</v>
      </c>
      <c r="E134" s="4" t="s">
        <v>176</v>
      </c>
      <c r="F134" s="4" t="s">
        <v>27</v>
      </c>
      <c r="G134" s="4" t="s">
        <v>28</v>
      </c>
      <c r="H134" s="4"/>
    </row>
    <row r="135" customFormat="false" ht="15" hidden="false" customHeight="true" outlineLevel="0" collapsed="false">
      <c r="A135" s="3" t="s">
        <v>361</v>
      </c>
      <c r="B135" s="4" t="s">
        <v>328</v>
      </c>
      <c r="C135" s="4" t="s">
        <v>362</v>
      </c>
      <c r="D135" s="9" t="s">
        <v>44</v>
      </c>
      <c r="E135" s="4" t="s">
        <v>176</v>
      </c>
      <c r="F135" s="4" t="s">
        <v>27</v>
      </c>
      <c r="G135" s="4" t="s">
        <v>28</v>
      </c>
      <c r="H135" s="4"/>
    </row>
    <row r="136" customFormat="false" ht="15" hidden="false" customHeight="true" outlineLevel="0" collapsed="false">
      <c r="A136" s="3" t="s">
        <v>363</v>
      </c>
      <c r="B136" s="4" t="s">
        <v>328</v>
      </c>
      <c r="C136" s="4" t="s">
        <v>364</v>
      </c>
      <c r="D136" s="9" t="s">
        <v>44</v>
      </c>
      <c r="E136" s="4" t="s">
        <v>365</v>
      </c>
      <c r="F136" s="4" t="s">
        <v>27</v>
      </c>
      <c r="G136" s="4" t="s">
        <v>28</v>
      </c>
      <c r="H136" s="4"/>
    </row>
    <row r="137" customFormat="false" ht="15" hidden="false" customHeight="true" outlineLevel="0" collapsed="false">
      <c r="A137" s="3" t="s">
        <v>366</v>
      </c>
      <c r="B137" s="4" t="s">
        <v>328</v>
      </c>
      <c r="C137" s="4" t="s">
        <v>367</v>
      </c>
      <c r="D137" s="9" t="s">
        <v>44</v>
      </c>
      <c r="E137" s="4" t="s">
        <v>176</v>
      </c>
      <c r="F137" s="4" t="s">
        <v>27</v>
      </c>
      <c r="G137" s="4" t="s">
        <v>28</v>
      </c>
      <c r="H137" s="4"/>
    </row>
    <row r="138" customFormat="false" ht="15" hidden="false" customHeight="true" outlineLevel="0" collapsed="false">
      <c r="A138" s="3" t="s">
        <v>368</v>
      </c>
      <c r="B138" s="4" t="s">
        <v>328</v>
      </c>
      <c r="C138" s="4" t="s">
        <v>369</v>
      </c>
      <c r="D138" s="10" t="s">
        <v>69</v>
      </c>
      <c r="E138" s="4" t="s">
        <v>176</v>
      </c>
      <c r="F138" s="4" t="s">
        <v>27</v>
      </c>
      <c r="G138" s="4" t="s">
        <v>28</v>
      </c>
      <c r="H138" s="4"/>
    </row>
    <row r="139" customFormat="false" ht="15" hidden="false" customHeight="true" outlineLevel="0" collapsed="false">
      <c r="A139" s="3" t="s">
        <v>370</v>
      </c>
      <c r="B139" s="4" t="s">
        <v>328</v>
      </c>
      <c r="C139" s="4" t="s">
        <v>371</v>
      </c>
      <c r="D139" s="10" t="s">
        <v>69</v>
      </c>
      <c r="E139" s="4" t="s">
        <v>54</v>
      </c>
      <c r="F139" s="4" t="s">
        <v>27</v>
      </c>
      <c r="G139" s="4" t="s">
        <v>28</v>
      </c>
      <c r="H139" s="4"/>
    </row>
    <row r="140" customFormat="false" ht="15" hidden="false" customHeight="true" outlineLevel="0" collapsed="false">
      <c r="A140" s="3" t="s">
        <v>372</v>
      </c>
      <c r="B140" s="4" t="s">
        <v>373</v>
      </c>
      <c r="C140" s="4" t="s">
        <v>374</v>
      </c>
      <c r="D140" s="5" t="s">
        <v>11</v>
      </c>
      <c r="E140" s="4" t="s">
        <v>240</v>
      </c>
      <c r="F140" s="4" t="s">
        <v>27</v>
      </c>
      <c r="G140" s="4" t="s">
        <v>28</v>
      </c>
      <c r="H140" s="4"/>
    </row>
    <row r="141" customFormat="false" ht="15" hidden="false" customHeight="true" outlineLevel="0" collapsed="false">
      <c r="A141" s="3" t="s">
        <v>375</v>
      </c>
      <c r="B141" s="4" t="s">
        <v>373</v>
      </c>
      <c r="C141" s="4" t="s">
        <v>376</v>
      </c>
      <c r="D141" s="5" t="s">
        <v>11</v>
      </c>
      <c r="E141" s="4" t="s">
        <v>377</v>
      </c>
      <c r="F141" s="4" t="s">
        <v>27</v>
      </c>
      <c r="G141" s="4" t="s">
        <v>28</v>
      </c>
      <c r="H141" s="4"/>
    </row>
    <row r="142" customFormat="false" ht="15" hidden="false" customHeight="true" outlineLevel="0" collapsed="false">
      <c r="A142" s="3" t="s">
        <v>378</v>
      </c>
      <c r="B142" s="4" t="s">
        <v>373</v>
      </c>
      <c r="C142" s="4" t="s">
        <v>379</v>
      </c>
      <c r="D142" s="5" t="s">
        <v>11</v>
      </c>
      <c r="E142" s="4" t="s">
        <v>377</v>
      </c>
      <c r="F142" s="4" t="s">
        <v>27</v>
      </c>
      <c r="G142" s="4" t="s">
        <v>28</v>
      </c>
      <c r="H142" s="4"/>
    </row>
    <row r="143" customFormat="false" ht="15" hidden="false" customHeight="true" outlineLevel="0" collapsed="false">
      <c r="A143" s="3" t="s">
        <v>380</v>
      </c>
      <c r="B143" s="4" t="s">
        <v>373</v>
      </c>
      <c r="C143" s="4" t="s">
        <v>381</v>
      </c>
      <c r="D143" s="5" t="s">
        <v>11</v>
      </c>
      <c r="E143" s="4" t="s">
        <v>240</v>
      </c>
      <c r="F143" s="4" t="s">
        <v>27</v>
      </c>
      <c r="G143" s="4" t="s">
        <v>28</v>
      </c>
      <c r="H143" s="4"/>
    </row>
    <row r="144" customFormat="false" ht="15" hidden="false" customHeight="true" outlineLevel="0" collapsed="false">
      <c r="A144" s="3" t="s">
        <v>382</v>
      </c>
      <c r="B144" s="4" t="s">
        <v>373</v>
      </c>
      <c r="C144" s="4" t="s">
        <v>383</v>
      </c>
      <c r="D144" s="5" t="s">
        <v>11</v>
      </c>
      <c r="E144" s="4" t="s">
        <v>240</v>
      </c>
      <c r="F144" s="6" t="s">
        <v>13</v>
      </c>
      <c r="G144" s="7" t="s">
        <v>14</v>
      </c>
      <c r="H144" s="4" t="s">
        <v>384</v>
      </c>
    </row>
    <row r="145" customFormat="false" ht="15" hidden="false" customHeight="true" outlineLevel="0" collapsed="false">
      <c r="A145" s="3" t="s">
        <v>385</v>
      </c>
      <c r="B145" s="4" t="s">
        <v>373</v>
      </c>
      <c r="C145" s="4" t="s">
        <v>386</v>
      </c>
      <c r="D145" s="5" t="s">
        <v>11</v>
      </c>
      <c r="E145" s="4" t="s">
        <v>387</v>
      </c>
      <c r="F145" s="6" t="s">
        <v>13</v>
      </c>
      <c r="G145" s="7" t="s">
        <v>14</v>
      </c>
      <c r="H145" s="4" t="s">
        <v>388</v>
      </c>
    </row>
    <row r="146" customFormat="false" ht="15" hidden="false" customHeight="true" outlineLevel="0" collapsed="false">
      <c r="A146" s="3" t="s">
        <v>389</v>
      </c>
      <c r="B146" s="4" t="s">
        <v>373</v>
      </c>
      <c r="C146" s="4" t="s">
        <v>390</v>
      </c>
      <c r="D146" s="5" t="s">
        <v>11</v>
      </c>
      <c r="E146" s="4" t="s">
        <v>387</v>
      </c>
      <c r="F146" s="4" t="s">
        <v>27</v>
      </c>
      <c r="G146" s="4" t="s">
        <v>28</v>
      </c>
      <c r="H146" s="4"/>
    </row>
    <row r="147" customFormat="false" ht="15" hidden="false" customHeight="true" outlineLevel="0" collapsed="false">
      <c r="A147" s="3" t="s">
        <v>391</v>
      </c>
      <c r="B147" s="4" t="s">
        <v>373</v>
      </c>
      <c r="C147" s="4" t="s">
        <v>392</v>
      </c>
      <c r="D147" s="8" t="s">
        <v>25</v>
      </c>
      <c r="E147" s="4" t="s">
        <v>240</v>
      </c>
      <c r="F147" s="4" t="s">
        <v>27</v>
      </c>
      <c r="G147" s="4" t="s">
        <v>28</v>
      </c>
      <c r="H147" s="4"/>
    </row>
    <row r="148" customFormat="false" ht="15" hidden="false" customHeight="true" outlineLevel="0" collapsed="false">
      <c r="A148" s="3" t="s">
        <v>393</v>
      </c>
      <c r="B148" s="4" t="s">
        <v>373</v>
      </c>
      <c r="C148" s="4" t="s">
        <v>394</v>
      </c>
      <c r="D148" s="8" t="s">
        <v>25</v>
      </c>
      <c r="E148" s="4" t="s">
        <v>240</v>
      </c>
      <c r="F148" s="4" t="s">
        <v>27</v>
      </c>
      <c r="G148" s="4" t="s">
        <v>28</v>
      </c>
      <c r="H148" s="4"/>
    </row>
    <row r="149" customFormat="false" ht="15" hidden="false" customHeight="true" outlineLevel="0" collapsed="false">
      <c r="A149" s="3" t="s">
        <v>395</v>
      </c>
      <c r="B149" s="4" t="s">
        <v>373</v>
      </c>
      <c r="C149" s="4" t="s">
        <v>396</v>
      </c>
      <c r="D149" s="8" t="s">
        <v>25</v>
      </c>
      <c r="E149" s="4" t="s">
        <v>240</v>
      </c>
      <c r="F149" s="4" t="s">
        <v>27</v>
      </c>
      <c r="G149" s="4" t="s">
        <v>28</v>
      </c>
      <c r="H149" s="4"/>
    </row>
    <row r="150" customFormat="false" ht="15" hidden="false" customHeight="true" outlineLevel="0" collapsed="false">
      <c r="A150" s="3" t="s">
        <v>397</v>
      </c>
      <c r="B150" s="4" t="s">
        <v>373</v>
      </c>
      <c r="C150" s="4" t="s">
        <v>398</v>
      </c>
      <c r="D150" s="8" t="s">
        <v>25</v>
      </c>
      <c r="E150" s="4" t="s">
        <v>240</v>
      </c>
      <c r="F150" s="4" t="s">
        <v>27</v>
      </c>
      <c r="G150" s="4" t="s">
        <v>28</v>
      </c>
      <c r="H150" s="4"/>
    </row>
    <row r="151" customFormat="false" ht="15" hidden="false" customHeight="true" outlineLevel="0" collapsed="false">
      <c r="A151" s="3" t="s">
        <v>399</v>
      </c>
      <c r="B151" s="4" t="s">
        <v>373</v>
      </c>
      <c r="C151" s="4" t="s">
        <v>400</v>
      </c>
      <c r="D151" s="8" t="s">
        <v>25</v>
      </c>
      <c r="E151" s="4" t="s">
        <v>240</v>
      </c>
      <c r="F151" s="4" t="s">
        <v>27</v>
      </c>
      <c r="G151" s="4" t="s">
        <v>28</v>
      </c>
      <c r="H151" s="4"/>
    </row>
    <row r="152" customFormat="false" ht="15" hidden="false" customHeight="true" outlineLevel="0" collapsed="false">
      <c r="A152" s="3" t="s">
        <v>401</v>
      </c>
      <c r="B152" s="4" t="s">
        <v>373</v>
      </c>
      <c r="C152" s="4" t="s">
        <v>402</v>
      </c>
      <c r="D152" s="8" t="s">
        <v>25</v>
      </c>
      <c r="E152" s="4" t="s">
        <v>403</v>
      </c>
      <c r="F152" s="4" t="s">
        <v>27</v>
      </c>
      <c r="G152" s="4" t="s">
        <v>28</v>
      </c>
      <c r="H152" s="4"/>
    </row>
    <row r="153" customFormat="false" ht="15" hidden="false" customHeight="true" outlineLevel="0" collapsed="false">
      <c r="A153" s="3" t="s">
        <v>404</v>
      </c>
      <c r="B153" s="4" t="s">
        <v>373</v>
      </c>
      <c r="C153" s="4" t="s">
        <v>405</v>
      </c>
      <c r="D153" s="8" t="s">
        <v>25</v>
      </c>
      <c r="E153" s="4" t="s">
        <v>240</v>
      </c>
      <c r="F153" s="4" t="s">
        <v>27</v>
      </c>
      <c r="G153" s="4" t="s">
        <v>28</v>
      </c>
      <c r="H153" s="4"/>
    </row>
    <row r="154" customFormat="false" ht="15" hidden="false" customHeight="true" outlineLevel="0" collapsed="false">
      <c r="A154" s="3" t="s">
        <v>406</v>
      </c>
      <c r="B154" s="4" t="s">
        <v>373</v>
      </c>
      <c r="C154" s="4" t="s">
        <v>407</v>
      </c>
      <c r="D154" s="8" t="s">
        <v>25</v>
      </c>
      <c r="E154" s="4" t="s">
        <v>377</v>
      </c>
      <c r="F154" s="4" t="s">
        <v>27</v>
      </c>
      <c r="G154" s="4" t="s">
        <v>28</v>
      </c>
      <c r="H154" s="4"/>
    </row>
    <row r="155" customFormat="false" ht="15" hidden="false" customHeight="true" outlineLevel="0" collapsed="false">
      <c r="A155" s="3" t="s">
        <v>408</v>
      </c>
      <c r="B155" s="4" t="s">
        <v>373</v>
      </c>
      <c r="C155" s="4" t="s">
        <v>409</v>
      </c>
      <c r="D155" s="8" t="s">
        <v>25</v>
      </c>
      <c r="E155" s="4" t="s">
        <v>240</v>
      </c>
      <c r="F155" s="4" t="s">
        <v>27</v>
      </c>
      <c r="G155" s="4" t="s">
        <v>28</v>
      </c>
      <c r="H155" s="4"/>
    </row>
    <row r="156" customFormat="false" ht="15" hidden="false" customHeight="true" outlineLevel="0" collapsed="false">
      <c r="A156" s="3" t="s">
        <v>410</v>
      </c>
      <c r="B156" s="4" t="s">
        <v>373</v>
      </c>
      <c r="C156" s="4" t="s">
        <v>411</v>
      </c>
      <c r="D156" s="8" t="s">
        <v>25</v>
      </c>
      <c r="E156" s="4" t="s">
        <v>240</v>
      </c>
      <c r="F156" s="4" t="s">
        <v>27</v>
      </c>
      <c r="G156" s="4" t="s">
        <v>28</v>
      </c>
      <c r="H156" s="4"/>
    </row>
    <row r="157" customFormat="false" ht="15" hidden="false" customHeight="true" outlineLevel="0" collapsed="false">
      <c r="A157" s="3" t="s">
        <v>412</v>
      </c>
      <c r="B157" s="4" t="s">
        <v>373</v>
      </c>
      <c r="C157" s="4" t="s">
        <v>413</v>
      </c>
      <c r="D157" s="8" t="s">
        <v>25</v>
      </c>
      <c r="E157" s="4" t="s">
        <v>377</v>
      </c>
      <c r="F157" s="4" t="s">
        <v>27</v>
      </c>
      <c r="G157" s="4" t="s">
        <v>28</v>
      </c>
      <c r="H157" s="4"/>
    </row>
    <row r="158" customFormat="false" ht="15" hidden="false" customHeight="true" outlineLevel="0" collapsed="false">
      <c r="A158" s="3" t="s">
        <v>414</v>
      </c>
      <c r="B158" s="4" t="s">
        <v>373</v>
      </c>
      <c r="C158" s="4" t="s">
        <v>415</v>
      </c>
      <c r="D158" s="8" t="s">
        <v>25</v>
      </c>
      <c r="E158" s="4" t="s">
        <v>240</v>
      </c>
      <c r="F158" s="4" t="s">
        <v>27</v>
      </c>
      <c r="G158" s="4" t="s">
        <v>28</v>
      </c>
      <c r="H158" s="4"/>
    </row>
    <row r="159" customFormat="false" ht="15" hidden="false" customHeight="true" outlineLevel="0" collapsed="false">
      <c r="A159" s="3" t="s">
        <v>416</v>
      </c>
      <c r="B159" s="4" t="s">
        <v>373</v>
      </c>
      <c r="C159" s="4" t="s">
        <v>417</v>
      </c>
      <c r="D159" s="8" t="s">
        <v>25</v>
      </c>
      <c r="E159" s="4" t="s">
        <v>240</v>
      </c>
      <c r="F159" s="4" t="s">
        <v>27</v>
      </c>
      <c r="G159" s="4" t="s">
        <v>28</v>
      </c>
      <c r="H159" s="4"/>
    </row>
    <row r="160" customFormat="false" ht="15" hidden="false" customHeight="true" outlineLevel="0" collapsed="false">
      <c r="A160" s="3" t="s">
        <v>418</v>
      </c>
      <c r="B160" s="4" t="s">
        <v>373</v>
      </c>
      <c r="C160" s="4" t="s">
        <v>419</v>
      </c>
      <c r="D160" s="8" t="s">
        <v>25</v>
      </c>
      <c r="E160" s="4" t="s">
        <v>377</v>
      </c>
      <c r="F160" s="6" t="s">
        <v>13</v>
      </c>
      <c r="G160" s="7" t="s">
        <v>14</v>
      </c>
      <c r="H160" s="4" t="s">
        <v>420</v>
      </c>
    </row>
    <row r="161" customFormat="false" ht="15" hidden="false" customHeight="true" outlineLevel="0" collapsed="false">
      <c r="A161" s="3" t="s">
        <v>421</v>
      </c>
      <c r="B161" s="4" t="s">
        <v>373</v>
      </c>
      <c r="C161" s="4" t="s">
        <v>422</v>
      </c>
      <c r="D161" s="8" t="s">
        <v>25</v>
      </c>
      <c r="E161" s="4" t="s">
        <v>403</v>
      </c>
      <c r="F161" s="4" t="s">
        <v>27</v>
      </c>
      <c r="G161" s="4" t="s">
        <v>28</v>
      </c>
      <c r="H161" s="4"/>
    </row>
    <row r="162" customFormat="false" ht="15" hidden="false" customHeight="true" outlineLevel="0" collapsed="false">
      <c r="A162" s="3" t="s">
        <v>423</v>
      </c>
      <c r="B162" s="4" t="s">
        <v>373</v>
      </c>
      <c r="C162" s="4" t="s">
        <v>424</v>
      </c>
      <c r="D162" s="8" t="s">
        <v>25</v>
      </c>
      <c r="E162" s="4" t="s">
        <v>206</v>
      </c>
      <c r="F162" s="4" t="s">
        <v>27</v>
      </c>
      <c r="G162" s="4" t="s">
        <v>28</v>
      </c>
      <c r="H162" s="4"/>
    </row>
    <row r="163" customFormat="false" ht="15" hidden="false" customHeight="true" outlineLevel="0" collapsed="false">
      <c r="A163" s="3" t="s">
        <v>425</v>
      </c>
      <c r="B163" s="4" t="s">
        <v>373</v>
      </c>
      <c r="C163" s="4" t="s">
        <v>426</v>
      </c>
      <c r="D163" s="8" t="s">
        <v>25</v>
      </c>
      <c r="E163" s="4" t="s">
        <v>377</v>
      </c>
      <c r="F163" s="4" t="s">
        <v>27</v>
      </c>
      <c r="G163" s="4" t="s">
        <v>28</v>
      </c>
      <c r="H163" s="4"/>
    </row>
    <row r="164" customFormat="false" ht="15" hidden="false" customHeight="true" outlineLevel="0" collapsed="false">
      <c r="A164" s="3" t="s">
        <v>427</v>
      </c>
      <c r="B164" s="4" t="s">
        <v>373</v>
      </c>
      <c r="C164" s="4" t="s">
        <v>428</v>
      </c>
      <c r="D164" s="8" t="s">
        <v>25</v>
      </c>
      <c r="E164" s="4" t="s">
        <v>377</v>
      </c>
      <c r="F164" s="6" t="s">
        <v>13</v>
      </c>
      <c r="G164" s="7" t="s">
        <v>14</v>
      </c>
      <c r="H164" s="4" t="s">
        <v>429</v>
      </c>
    </row>
    <row r="165" customFormat="false" ht="15" hidden="false" customHeight="true" outlineLevel="0" collapsed="false">
      <c r="A165" s="3" t="s">
        <v>430</v>
      </c>
      <c r="B165" s="4" t="s">
        <v>373</v>
      </c>
      <c r="C165" s="4" t="s">
        <v>431</v>
      </c>
      <c r="D165" s="8" t="s">
        <v>25</v>
      </c>
      <c r="E165" s="4" t="s">
        <v>377</v>
      </c>
      <c r="F165" s="4" t="s">
        <v>27</v>
      </c>
      <c r="G165" s="4" t="s">
        <v>28</v>
      </c>
      <c r="H165" s="4"/>
    </row>
    <row r="166" customFormat="false" ht="23.25" hidden="false" customHeight="true" outlineLevel="0" collapsed="false">
      <c r="A166" s="3" t="s">
        <v>432</v>
      </c>
      <c r="B166" s="4" t="s">
        <v>373</v>
      </c>
      <c r="C166" s="4" t="s">
        <v>433</v>
      </c>
      <c r="D166" s="9" t="s">
        <v>44</v>
      </c>
      <c r="E166" s="4" t="s">
        <v>240</v>
      </c>
      <c r="F166" s="11" t="s">
        <v>434</v>
      </c>
      <c r="G166" s="7" t="s">
        <v>14</v>
      </c>
      <c r="H166" s="4" t="s">
        <v>435</v>
      </c>
    </row>
    <row r="167" customFormat="false" ht="15" hidden="false" customHeight="true" outlineLevel="0" collapsed="false">
      <c r="A167" s="3" t="s">
        <v>436</v>
      </c>
      <c r="B167" s="4" t="s">
        <v>373</v>
      </c>
      <c r="C167" s="4" t="s">
        <v>437</v>
      </c>
      <c r="D167" s="9" t="s">
        <v>44</v>
      </c>
      <c r="E167" s="4" t="s">
        <v>377</v>
      </c>
      <c r="F167" s="4" t="s">
        <v>27</v>
      </c>
      <c r="G167" s="4" t="s">
        <v>28</v>
      </c>
      <c r="H167" s="4"/>
    </row>
    <row r="168" customFormat="false" ht="15" hidden="false" customHeight="true" outlineLevel="0" collapsed="false">
      <c r="A168" s="3" t="s">
        <v>438</v>
      </c>
      <c r="B168" s="4" t="s">
        <v>373</v>
      </c>
      <c r="C168" s="4" t="s">
        <v>439</v>
      </c>
      <c r="D168" s="9" t="s">
        <v>44</v>
      </c>
      <c r="E168" s="4" t="s">
        <v>240</v>
      </c>
      <c r="F168" s="4" t="s">
        <v>27</v>
      </c>
      <c r="G168" s="4" t="s">
        <v>28</v>
      </c>
      <c r="H168" s="4"/>
    </row>
    <row r="169" customFormat="false" ht="15" hidden="false" customHeight="true" outlineLevel="0" collapsed="false">
      <c r="A169" s="3" t="s">
        <v>440</v>
      </c>
      <c r="B169" s="4" t="s">
        <v>373</v>
      </c>
      <c r="C169" s="4" t="s">
        <v>441</v>
      </c>
      <c r="D169" s="9" t="s">
        <v>44</v>
      </c>
      <c r="E169" s="4" t="s">
        <v>377</v>
      </c>
      <c r="F169" s="4" t="s">
        <v>27</v>
      </c>
      <c r="G169" s="4" t="s">
        <v>28</v>
      </c>
      <c r="H169" s="4"/>
    </row>
    <row r="170" customFormat="false" ht="15" hidden="false" customHeight="true" outlineLevel="0" collapsed="false">
      <c r="A170" s="3" t="s">
        <v>442</v>
      </c>
      <c r="B170" s="4" t="s">
        <v>373</v>
      </c>
      <c r="C170" s="4" t="s">
        <v>443</v>
      </c>
      <c r="D170" s="9" t="s">
        <v>44</v>
      </c>
      <c r="E170" s="4" t="s">
        <v>377</v>
      </c>
      <c r="F170" s="4" t="s">
        <v>27</v>
      </c>
      <c r="G170" s="4" t="s">
        <v>28</v>
      </c>
      <c r="H170" s="4"/>
    </row>
    <row r="171" customFormat="false" ht="15" hidden="false" customHeight="true" outlineLevel="0" collapsed="false">
      <c r="A171" s="3" t="s">
        <v>444</v>
      </c>
      <c r="B171" s="4" t="s">
        <v>373</v>
      </c>
      <c r="C171" s="4" t="s">
        <v>445</v>
      </c>
      <c r="D171" s="9" t="s">
        <v>44</v>
      </c>
      <c r="E171" s="4" t="s">
        <v>377</v>
      </c>
      <c r="F171" s="6" t="s">
        <v>13</v>
      </c>
      <c r="G171" s="7" t="s">
        <v>14</v>
      </c>
      <c r="H171" s="4" t="s">
        <v>446</v>
      </c>
    </row>
    <row r="172" customFormat="false" ht="15" hidden="false" customHeight="true" outlineLevel="0" collapsed="false">
      <c r="A172" s="3" t="s">
        <v>447</v>
      </c>
      <c r="B172" s="4" t="s">
        <v>373</v>
      </c>
      <c r="C172" s="4" t="s">
        <v>448</v>
      </c>
      <c r="D172" s="9" t="s">
        <v>44</v>
      </c>
      <c r="E172" s="4" t="s">
        <v>240</v>
      </c>
      <c r="F172" s="4" t="s">
        <v>27</v>
      </c>
      <c r="G172" s="4" t="s">
        <v>28</v>
      </c>
      <c r="H172" s="4"/>
    </row>
    <row r="173" customFormat="false" ht="15" hidden="false" customHeight="true" outlineLevel="0" collapsed="false">
      <c r="A173" s="3" t="s">
        <v>449</v>
      </c>
      <c r="B173" s="4" t="s">
        <v>373</v>
      </c>
      <c r="C173" s="4" t="s">
        <v>450</v>
      </c>
      <c r="D173" s="9" t="s">
        <v>44</v>
      </c>
      <c r="E173" s="4" t="s">
        <v>240</v>
      </c>
      <c r="F173" s="4" t="s">
        <v>27</v>
      </c>
      <c r="G173" s="4" t="s">
        <v>28</v>
      </c>
      <c r="H173" s="4"/>
    </row>
    <row r="174" customFormat="false" ht="15" hidden="false" customHeight="true" outlineLevel="0" collapsed="false">
      <c r="A174" s="3" t="s">
        <v>451</v>
      </c>
      <c r="B174" s="4" t="s">
        <v>373</v>
      </c>
      <c r="C174" s="4" t="s">
        <v>452</v>
      </c>
      <c r="D174" s="9" t="s">
        <v>44</v>
      </c>
      <c r="E174" s="4" t="s">
        <v>377</v>
      </c>
      <c r="F174" s="4" t="s">
        <v>27</v>
      </c>
      <c r="G174" s="4" t="s">
        <v>28</v>
      </c>
      <c r="H174" s="4"/>
    </row>
    <row r="175" customFormat="false" ht="15" hidden="false" customHeight="true" outlineLevel="0" collapsed="false">
      <c r="A175" s="3" t="s">
        <v>453</v>
      </c>
      <c r="B175" s="4" t="s">
        <v>373</v>
      </c>
      <c r="C175" s="4" t="s">
        <v>454</v>
      </c>
      <c r="D175" s="9" t="s">
        <v>44</v>
      </c>
      <c r="E175" s="4" t="s">
        <v>377</v>
      </c>
      <c r="F175" s="4" t="s">
        <v>27</v>
      </c>
      <c r="G175" s="4" t="s">
        <v>28</v>
      </c>
      <c r="H175" s="4"/>
    </row>
    <row r="176" customFormat="false" ht="15" hidden="false" customHeight="true" outlineLevel="0" collapsed="false">
      <c r="A176" s="3" t="s">
        <v>455</v>
      </c>
      <c r="B176" s="4" t="s">
        <v>373</v>
      </c>
      <c r="C176" s="4" t="s">
        <v>456</v>
      </c>
      <c r="D176" s="13" t="s">
        <v>457</v>
      </c>
      <c r="E176" s="4" t="s">
        <v>206</v>
      </c>
      <c r="F176" s="4" t="s">
        <v>27</v>
      </c>
      <c r="G176" s="4" t="s">
        <v>28</v>
      </c>
      <c r="H176" s="4"/>
    </row>
    <row r="177" customFormat="false" ht="15" hidden="false" customHeight="true" outlineLevel="0" collapsed="false">
      <c r="A177" s="3" t="s">
        <v>458</v>
      </c>
      <c r="B177" s="4" t="s">
        <v>373</v>
      </c>
      <c r="C177" s="4" t="s">
        <v>459</v>
      </c>
      <c r="D177" s="9" t="s">
        <v>44</v>
      </c>
      <c r="E177" s="4" t="s">
        <v>460</v>
      </c>
      <c r="F177" s="6" t="s">
        <v>13</v>
      </c>
      <c r="G177" s="7" t="s">
        <v>14</v>
      </c>
      <c r="H177" s="4" t="s">
        <v>461</v>
      </c>
    </row>
    <row r="178" customFormat="false" ht="15" hidden="false" customHeight="true" outlineLevel="0" collapsed="false">
      <c r="A178" s="3" t="s">
        <v>462</v>
      </c>
      <c r="B178" s="4" t="s">
        <v>373</v>
      </c>
      <c r="C178" s="4" t="s">
        <v>463</v>
      </c>
      <c r="D178" s="13" t="s">
        <v>457</v>
      </c>
      <c r="E178" s="4" t="s">
        <v>377</v>
      </c>
      <c r="F178" s="4" t="s">
        <v>27</v>
      </c>
      <c r="G178" s="4" t="s">
        <v>28</v>
      </c>
      <c r="H178" s="4"/>
    </row>
    <row r="179" customFormat="false" ht="15" hidden="false" customHeight="true" outlineLevel="0" collapsed="false">
      <c r="A179" s="3" t="s">
        <v>464</v>
      </c>
      <c r="B179" s="4" t="s">
        <v>373</v>
      </c>
      <c r="C179" s="4" t="s">
        <v>465</v>
      </c>
      <c r="D179" s="9" t="s">
        <v>44</v>
      </c>
      <c r="E179" s="4" t="s">
        <v>377</v>
      </c>
      <c r="F179" s="4" t="s">
        <v>27</v>
      </c>
      <c r="G179" s="4" t="s">
        <v>28</v>
      </c>
      <c r="H179" s="4"/>
    </row>
    <row r="180" customFormat="false" ht="15" hidden="false" customHeight="true" outlineLevel="0" collapsed="false">
      <c r="A180" s="3" t="s">
        <v>466</v>
      </c>
      <c r="B180" s="4" t="s">
        <v>373</v>
      </c>
      <c r="C180" s="4" t="s">
        <v>467</v>
      </c>
      <c r="D180" s="14" t="s">
        <v>468</v>
      </c>
      <c r="E180" s="4" t="s">
        <v>469</v>
      </c>
      <c r="F180" s="4" t="s">
        <v>27</v>
      </c>
      <c r="G180" s="4" t="s">
        <v>28</v>
      </c>
      <c r="H180" s="4"/>
    </row>
    <row r="181" customFormat="false" ht="15" hidden="false" customHeight="true" outlineLevel="0" collapsed="false">
      <c r="A181" s="3" t="s">
        <v>470</v>
      </c>
      <c r="B181" s="4" t="s">
        <v>373</v>
      </c>
      <c r="C181" s="4" t="s">
        <v>471</v>
      </c>
      <c r="D181" s="14" t="s">
        <v>468</v>
      </c>
      <c r="E181" s="4" t="s">
        <v>377</v>
      </c>
      <c r="F181" s="4" t="s">
        <v>27</v>
      </c>
      <c r="G181" s="4" t="s">
        <v>28</v>
      </c>
      <c r="H181" s="4"/>
    </row>
    <row r="182" customFormat="false" ht="15" hidden="false" customHeight="true" outlineLevel="0" collapsed="false">
      <c r="A182" s="3" t="s">
        <v>472</v>
      </c>
      <c r="B182" s="4" t="s">
        <v>373</v>
      </c>
      <c r="C182" s="4" t="s">
        <v>473</v>
      </c>
      <c r="D182" s="14" t="s">
        <v>468</v>
      </c>
      <c r="E182" s="4" t="s">
        <v>377</v>
      </c>
      <c r="F182" s="4" t="s">
        <v>27</v>
      </c>
      <c r="G182" s="4" t="s">
        <v>28</v>
      </c>
      <c r="H182" s="4"/>
    </row>
    <row r="183" customFormat="false" ht="15" hidden="false" customHeight="true" outlineLevel="0" collapsed="false">
      <c r="A183" s="3" t="s">
        <v>474</v>
      </c>
      <c r="B183" s="4" t="s">
        <v>373</v>
      </c>
      <c r="C183" s="4" t="s">
        <v>475</v>
      </c>
      <c r="D183" s="10" t="s">
        <v>69</v>
      </c>
      <c r="E183" s="4" t="s">
        <v>377</v>
      </c>
      <c r="F183" s="4" t="s">
        <v>27</v>
      </c>
      <c r="G183" s="4" t="s">
        <v>28</v>
      </c>
      <c r="H183" s="4"/>
    </row>
    <row r="184" customFormat="false" ht="15" hidden="false" customHeight="true" outlineLevel="0" collapsed="false">
      <c r="A184" s="3" t="s">
        <v>476</v>
      </c>
      <c r="B184" s="4" t="s">
        <v>373</v>
      </c>
      <c r="C184" s="4" t="s">
        <v>477</v>
      </c>
      <c r="D184" s="10" t="s">
        <v>69</v>
      </c>
      <c r="E184" s="4" t="s">
        <v>377</v>
      </c>
      <c r="F184" s="4" t="s">
        <v>27</v>
      </c>
      <c r="G184" s="4" t="s">
        <v>28</v>
      </c>
      <c r="H184" s="4"/>
    </row>
    <row r="185" customFormat="false" ht="23.25" hidden="false" customHeight="true" outlineLevel="0" collapsed="false">
      <c r="A185" s="3" t="s">
        <v>478</v>
      </c>
      <c r="B185" s="4" t="s">
        <v>373</v>
      </c>
      <c r="C185" s="4" t="s">
        <v>479</v>
      </c>
      <c r="D185" s="10" t="s">
        <v>69</v>
      </c>
      <c r="E185" s="4" t="s">
        <v>325</v>
      </c>
      <c r="F185" s="12" t="s">
        <v>326</v>
      </c>
      <c r="G185" s="4" t="s">
        <v>28</v>
      </c>
      <c r="H185" s="4"/>
    </row>
    <row r="186" customFormat="false" ht="23.25" hidden="false" customHeight="true" outlineLevel="0" collapsed="false">
      <c r="A186" s="3" t="s">
        <v>480</v>
      </c>
      <c r="B186" s="4" t="s">
        <v>373</v>
      </c>
      <c r="C186" s="4" t="s">
        <v>481</v>
      </c>
      <c r="D186" s="10" t="s">
        <v>69</v>
      </c>
      <c r="E186" s="4" t="s">
        <v>325</v>
      </c>
      <c r="F186" s="12" t="s">
        <v>326</v>
      </c>
      <c r="G186" s="4" t="s">
        <v>28</v>
      </c>
      <c r="H186" s="4"/>
    </row>
    <row r="187" customFormat="false" ht="15" hidden="false" customHeight="true" outlineLevel="0" collapsed="false">
      <c r="A187" s="3" t="s">
        <v>482</v>
      </c>
      <c r="B187" s="4" t="s">
        <v>483</v>
      </c>
      <c r="C187" s="4" t="s">
        <v>484</v>
      </c>
      <c r="D187" s="5" t="s">
        <v>11</v>
      </c>
      <c r="E187" s="4" t="s">
        <v>54</v>
      </c>
      <c r="F187" s="4" t="s">
        <v>27</v>
      </c>
      <c r="G187" s="4" t="s">
        <v>28</v>
      </c>
      <c r="H187" s="4"/>
    </row>
    <row r="188" customFormat="false" ht="23.25" hidden="false" customHeight="true" outlineLevel="0" collapsed="false">
      <c r="A188" s="3" t="s">
        <v>485</v>
      </c>
      <c r="B188" s="4" t="s">
        <v>483</v>
      </c>
      <c r="C188" s="4" t="s">
        <v>486</v>
      </c>
      <c r="D188" s="5" t="s">
        <v>11</v>
      </c>
      <c r="E188" s="4" t="s">
        <v>54</v>
      </c>
      <c r="F188" s="4" t="s">
        <v>27</v>
      </c>
      <c r="G188" s="7" t="s">
        <v>14</v>
      </c>
      <c r="H188" s="4" t="s">
        <v>487</v>
      </c>
    </row>
    <row r="189" customFormat="false" ht="15" hidden="false" customHeight="true" outlineLevel="0" collapsed="false">
      <c r="A189" s="3" t="s">
        <v>488</v>
      </c>
      <c r="B189" s="4" t="s">
        <v>483</v>
      </c>
      <c r="C189" s="4" t="s">
        <v>489</v>
      </c>
      <c r="D189" s="5" t="s">
        <v>11</v>
      </c>
      <c r="E189" s="4" t="s">
        <v>490</v>
      </c>
      <c r="F189" s="11" t="s">
        <v>130</v>
      </c>
      <c r="G189" s="7" t="s">
        <v>14</v>
      </c>
      <c r="H189" s="4" t="s">
        <v>491</v>
      </c>
    </row>
    <row r="190" customFormat="false" ht="15" hidden="false" customHeight="true" outlineLevel="0" collapsed="false">
      <c r="A190" s="3" t="s">
        <v>492</v>
      </c>
      <c r="B190" s="4" t="s">
        <v>483</v>
      </c>
      <c r="C190" s="4" t="s">
        <v>493</v>
      </c>
      <c r="D190" s="5" t="s">
        <v>11</v>
      </c>
      <c r="E190" s="4" t="s">
        <v>494</v>
      </c>
      <c r="F190" s="4" t="s">
        <v>27</v>
      </c>
      <c r="G190" s="4" t="s">
        <v>28</v>
      </c>
      <c r="H190" s="4"/>
    </row>
    <row r="191" customFormat="false" ht="15" hidden="false" customHeight="true" outlineLevel="0" collapsed="false">
      <c r="A191" s="3" t="s">
        <v>495</v>
      </c>
      <c r="B191" s="4" t="s">
        <v>483</v>
      </c>
      <c r="C191" s="4" t="s">
        <v>496</v>
      </c>
      <c r="D191" s="5" t="s">
        <v>11</v>
      </c>
      <c r="E191" s="4" t="s">
        <v>54</v>
      </c>
      <c r="F191" s="4" t="s">
        <v>27</v>
      </c>
      <c r="G191" s="4" t="s">
        <v>28</v>
      </c>
      <c r="H191" s="4"/>
    </row>
    <row r="192" customFormat="false" ht="23.25" hidden="false" customHeight="true" outlineLevel="0" collapsed="false">
      <c r="A192" s="3" t="s">
        <v>497</v>
      </c>
      <c r="B192" s="4" t="s">
        <v>483</v>
      </c>
      <c r="C192" s="4" t="s">
        <v>498</v>
      </c>
      <c r="D192" s="8" t="s">
        <v>25</v>
      </c>
      <c r="E192" s="4" t="s">
        <v>490</v>
      </c>
      <c r="F192" s="6" t="s">
        <v>499</v>
      </c>
      <c r="G192" s="7" t="s">
        <v>14</v>
      </c>
      <c r="H192" s="4" t="s">
        <v>500</v>
      </c>
    </row>
    <row r="193" customFormat="false" ht="15" hidden="false" customHeight="true" outlineLevel="0" collapsed="false">
      <c r="A193" s="3" t="s">
        <v>501</v>
      </c>
      <c r="B193" s="4" t="s">
        <v>483</v>
      </c>
      <c r="C193" s="4" t="s">
        <v>502</v>
      </c>
      <c r="D193" s="8" t="s">
        <v>25</v>
      </c>
      <c r="E193" s="4" t="s">
        <v>490</v>
      </c>
      <c r="F193" s="4" t="s">
        <v>27</v>
      </c>
      <c r="G193" s="4" t="s">
        <v>28</v>
      </c>
      <c r="H193" s="4"/>
    </row>
    <row r="194" customFormat="false" ht="15" hidden="false" customHeight="true" outlineLevel="0" collapsed="false">
      <c r="A194" s="3" t="s">
        <v>503</v>
      </c>
      <c r="B194" s="4" t="s">
        <v>483</v>
      </c>
      <c r="C194" s="4" t="s">
        <v>504</v>
      </c>
      <c r="D194" s="8" t="s">
        <v>25</v>
      </c>
      <c r="E194" s="4" t="s">
        <v>54</v>
      </c>
      <c r="F194" s="4" t="s">
        <v>27</v>
      </c>
      <c r="G194" s="4" t="s">
        <v>28</v>
      </c>
      <c r="H194" s="4"/>
    </row>
    <row r="195" customFormat="false" ht="15" hidden="false" customHeight="true" outlineLevel="0" collapsed="false">
      <c r="A195" s="3" t="s">
        <v>505</v>
      </c>
      <c r="B195" s="4" t="s">
        <v>483</v>
      </c>
      <c r="C195" s="4" t="s">
        <v>506</v>
      </c>
      <c r="D195" s="8" t="s">
        <v>25</v>
      </c>
      <c r="E195" s="4" t="s">
        <v>490</v>
      </c>
      <c r="F195" s="4" t="s">
        <v>27</v>
      </c>
      <c r="G195" s="4" t="s">
        <v>28</v>
      </c>
      <c r="H195" s="4"/>
    </row>
    <row r="196" customFormat="false" ht="15" hidden="false" customHeight="true" outlineLevel="0" collapsed="false">
      <c r="A196" s="3" t="s">
        <v>507</v>
      </c>
      <c r="B196" s="4" t="s">
        <v>483</v>
      </c>
      <c r="C196" s="4" t="s">
        <v>508</v>
      </c>
      <c r="D196" s="8" t="s">
        <v>25</v>
      </c>
      <c r="E196" s="4" t="s">
        <v>121</v>
      </c>
      <c r="F196" s="4" t="s">
        <v>27</v>
      </c>
      <c r="G196" s="4" t="s">
        <v>28</v>
      </c>
      <c r="H196" s="4"/>
    </row>
    <row r="197" customFormat="false" ht="15" hidden="false" customHeight="true" outlineLevel="0" collapsed="false">
      <c r="A197" s="3" t="s">
        <v>509</v>
      </c>
      <c r="B197" s="4" t="s">
        <v>483</v>
      </c>
      <c r="C197" s="4" t="s">
        <v>510</v>
      </c>
      <c r="D197" s="8" t="s">
        <v>25</v>
      </c>
      <c r="E197" s="4" t="s">
        <v>490</v>
      </c>
      <c r="F197" s="4" t="s">
        <v>27</v>
      </c>
      <c r="G197" s="4" t="s">
        <v>28</v>
      </c>
      <c r="H197" s="4"/>
    </row>
    <row r="198" customFormat="false" ht="15" hidden="false" customHeight="true" outlineLevel="0" collapsed="false">
      <c r="A198" s="3" t="s">
        <v>511</v>
      </c>
      <c r="B198" s="4" t="s">
        <v>483</v>
      </c>
      <c r="C198" s="4" t="s">
        <v>512</v>
      </c>
      <c r="D198" s="8" t="s">
        <v>25</v>
      </c>
      <c r="E198" s="4" t="s">
        <v>26</v>
      </c>
      <c r="F198" s="4" t="s">
        <v>27</v>
      </c>
      <c r="G198" s="4" t="s">
        <v>28</v>
      </c>
      <c r="H198" s="4"/>
    </row>
    <row r="199" customFormat="false" ht="23.25" hidden="false" customHeight="true" outlineLevel="0" collapsed="false">
      <c r="A199" s="3" t="s">
        <v>513</v>
      </c>
      <c r="B199" s="4" t="s">
        <v>483</v>
      </c>
      <c r="C199" s="4" t="s">
        <v>514</v>
      </c>
      <c r="D199" s="9" t="s">
        <v>44</v>
      </c>
      <c r="E199" s="4" t="s">
        <v>26</v>
      </c>
      <c r="F199" s="11" t="s">
        <v>130</v>
      </c>
      <c r="G199" s="7" t="s">
        <v>14</v>
      </c>
      <c r="H199" s="4" t="s">
        <v>515</v>
      </c>
    </row>
    <row r="200" customFormat="false" ht="15" hidden="false" customHeight="true" outlineLevel="0" collapsed="false">
      <c r="A200" s="3" t="s">
        <v>516</v>
      </c>
      <c r="B200" s="4" t="s">
        <v>483</v>
      </c>
      <c r="C200" s="4" t="s">
        <v>517</v>
      </c>
      <c r="D200" s="9" t="s">
        <v>44</v>
      </c>
      <c r="E200" s="4" t="s">
        <v>490</v>
      </c>
      <c r="F200" s="4" t="s">
        <v>27</v>
      </c>
      <c r="G200" s="4" t="s">
        <v>28</v>
      </c>
      <c r="H200" s="4"/>
    </row>
    <row r="201" customFormat="false" ht="15" hidden="false" customHeight="true" outlineLevel="0" collapsed="false">
      <c r="A201" s="3" t="s">
        <v>518</v>
      </c>
      <c r="B201" s="4" t="s">
        <v>483</v>
      </c>
      <c r="C201" s="4" t="s">
        <v>519</v>
      </c>
      <c r="D201" s="9" t="s">
        <v>44</v>
      </c>
      <c r="E201" s="4" t="s">
        <v>490</v>
      </c>
      <c r="F201" s="4" t="s">
        <v>27</v>
      </c>
      <c r="G201" s="4" t="s">
        <v>28</v>
      </c>
      <c r="H201" s="4"/>
    </row>
    <row r="202" customFormat="false" ht="15" hidden="false" customHeight="true" outlineLevel="0" collapsed="false">
      <c r="A202" s="3" t="s">
        <v>520</v>
      </c>
      <c r="B202" s="4" t="s">
        <v>483</v>
      </c>
      <c r="C202" s="4" t="s">
        <v>521</v>
      </c>
      <c r="D202" s="9" t="s">
        <v>44</v>
      </c>
      <c r="E202" s="4" t="s">
        <v>490</v>
      </c>
      <c r="F202" s="4" t="s">
        <v>27</v>
      </c>
      <c r="G202" s="4" t="s">
        <v>28</v>
      </c>
      <c r="H202" s="4"/>
    </row>
    <row r="203" customFormat="false" ht="15" hidden="false" customHeight="true" outlineLevel="0" collapsed="false">
      <c r="A203" s="3" t="s">
        <v>522</v>
      </c>
      <c r="B203" s="4" t="s">
        <v>483</v>
      </c>
      <c r="C203" s="4" t="s">
        <v>523</v>
      </c>
      <c r="D203" s="9" t="s">
        <v>44</v>
      </c>
      <c r="E203" s="4" t="s">
        <v>26</v>
      </c>
      <c r="F203" s="4" t="s">
        <v>27</v>
      </c>
      <c r="G203" s="4" t="s">
        <v>28</v>
      </c>
      <c r="H203" s="4"/>
    </row>
    <row r="204" customFormat="false" ht="15" hidden="false" customHeight="true" outlineLevel="0" collapsed="false">
      <c r="A204" s="3" t="s">
        <v>524</v>
      </c>
      <c r="B204" s="4" t="s">
        <v>483</v>
      </c>
      <c r="C204" s="4" t="s">
        <v>525</v>
      </c>
      <c r="D204" s="9" t="s">
        <v>44</v>
      </c>
      <c r="E204" s="4" t="s">
        <v>490</v>
      </c>
      <c r="F204" s="4" t="s">
        <v>27</v>
      </c>
      <c r="G204" s="4" t="s">
        <v>28</v>
      </c>
      <c r="H204" s="4"/>
    </row>
    <row r="205" customFormat="false" ht="15" hidden="false" customHeight="true" outlineLevel="0" collapsed="false">
      <c r="A205" s="3" t="s">
        <v>526</v>
      </c>
      <c r="B205" s="4" t="s">
        <v>483</v>
      </c>
      <c r="C205" s="4" t="s">
        <v>527</v>
      </c>
      <c r="D205" s="9" t="s">
        <v>44</v>
      </c>
      <c r="E205" s="4" t="s">
        <v>121</v>
      </c>
      <c r="F205" s="4" t="s">
        <v>27</v>
      </c>
      <c r="G205" s="4" t="s">
        <v>28</v>
      </c>
      <c r="H205" s="4"/>
    </row>
    <row r="206" customFormat="false" ht="15" hidden="false" customHeight="true" outlineLevel="0" collapsed="false">
      <c r="A206" s="3" t="s">
        <v>528</v>
      </c>
      <c r="B206" s="4" t="s">
        <v>483</v>
      </c>
      <c r="C206" s="4" t="s">
        <v>529</v>
      </c>
      <c r="D206" s="9" t="s">
        <v>44</v>
      </c>
      <c r="E206" s="4" t="s">
        <v>530</v>
      </c>
      <c r="F206" s="4" t="s">
        <v>27</v>
      </c>
      <c r="G206" s="4" t="s">
        <v>28</v>
      </c>
      <c r="H206" s="4"/>
    </row>
    <row r="207" customFormat="false" ht="34.5" hidden="false" customHeight="true" outlineLevel="0" collapsed="false">
      <c r="A207" s="3" t="s">
        <v>531</v>
      </c>
      <c r="B207" s="4" t="s">
        <v>373</v>
      </c>
      <c r="C207" s="4" t="s">
        <v>532</v>
      </c>
      <c r="D207" s="5" t="s">
        <v>11</v>
      </c>
      <c r="E207" s="4" t="s">
        <v>533</v>
      </c>
      <c r="F207" s="6" t="s">
        <v>13</v>
      </c>
      <c r="G207" s="7" t="s">
        <v>14</v>
      </c>
      <c r="H207" s="4" t="s">
        <v>534</v>
      </c>
    </row>
    <row r="208" customFormat="false" ht="23.25" hidden="false" customHeight="true" outlineLevel="0" collapsed="false">
      <c r="A208" s="3" t="s">
        <v>535</v>
      </c>
      <c r="B208" s="4" t="s">
        <v>373</v>
      </c>
      <c r="C208" s="4" t="s">
        <v>536</v>
      </c>
      <c r="D208" s="5" t="s">
        <v>11</v>
      </c>
      <c r="E208" s="4" t="s">
        <v>537</v>
      </c>
      <c r="F208" s="6" t="s">
        <v>13</v>
      </c>
      <c r="G208" s="7" t="s">
        <v>14</v>
      </c>
      <c r="H208" s="4" t="s">
        <v>538</v>
      </c>
    </row>
    <row r="209" customFormat="false" ht="34.5" hidden="false" customHeight="true" outlineLevel="0" collapsed="false">
      <c r="A209" s="3" t="s">
        <v>539</v>
      </c>
      <c r="B209" s="4" t="s">
        <v>373</v>
      </c>
      <c r="C209" s="4" t="s">
        <v>540</v>
      </c>
      <c r="D209" s="5" t="s">
        <v>11</v>
      </c>
      <c r="E209" s="4" t="s">
        <v>61</v>
      </c>
      <c r="F209" s="6" t="s">
        <v>13</v>
      </c>
      <c r="G209" s="7" t="s">
        <v>14</v>
      </c>
      <c r="H209" s="4" t="s">
        <v>541</v>
      </c>
    </row>
    <row r="210" customFormat="false" ht="34.5" hidden="false" customHeight="true" outlineLevel="0" collapsed="false">
      <c r="A210" s="3" t="s">
        <v>542</v>
      </c>
      <c r="B210" s="4" t="s">
        <v>86</v>
      </c>
      <c r="C210" s="4" t="s">
        <v>543</v>
      </c>
      <c r="D210" s="8" t="s">
        <v>25</v>
      </c>
      <c r="E210" s="4" t="s">
        <v>26</v>
      </c>
      <c r="F210" s="4" t="s">
        <v>27</v>
      </c>
      <c r="G210" s="7" t="s">
        <v>14</v>
      </c>
      <c r="H210" s="4" t="s">
        <v>544</v>
      </c>
    </row>
    <row r="211" customFormat="false" ht="34.5" hidden="false" customHeight="true" outlineLevel="0" collapsed="false">
      <c r="A211" s="3" t="s">
        <v>545</v>
      </c>
      <c r="B211" s="4" t="s">
        <v>86</v>
      </c>
      <c r="C211" s="4" t="s">
        <v>546</v>
      </c>
      <c r="D211" s="5" t="s">
        <v>11</v>
      </c>
      <c r="E211" s="4" t="s">
        <v>547</v>
      </c>
      <c r="F211" s="4" t="s">
        <v>27</v>
      </c>
      <c r="G211" s="7" t="s">
        <v>14</v>
      </c>
      <c r="H211" s="4" t="s">
        <v>548</v>
      </c>
    </row>
    <row r="212" customFormat="false" ht="23.25" hidden="false" customHeight="true" outlineLevel="0" collapsed="false">
      <c r="A212" s="3" t="s">
        <v>549</v>
      </c>
      <c r="B212" s="4" t="s">
        <v>174</v>
      </c>
      <c r="C212" s="4" t="s">
        <v>550</v>
      </c>
      <c r="D212" s="10" t="s">
        <v>69</v>
      </c>
      <c r="E212" s="4" t="s">
        <v>61</v>
      </c>
      <c r="F212" s="6" t="s">
        <v>13</v>
      </c>
      <c r="G212" s="7" t="s">
        <v>14</v>
      </c>
      <c r="H212" s="4" t="s">
        <v>551</v>
      </c>
    </row>
  </sheetData>
  <autoFilter ref="A1:H212"/>
  <dataValidations count="1">
    <dataValidation allowBlank="true" errorStyle="stop" operator="between" showDropDown="false" showErrorMessage="false" showInputMessage="false" sqref="F2:F206" type="list">
      <formula1>"Open,In progress,Partially fixed,Largely fixed,Fixed,Closed,Won't fix,Deferred"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8" min="2" style="1" width="13"/>
  </cols>
  <sheetData>
    <row r="1" customFormat="false" ht="17.25" hidden="false" customHeight="true" outlineLevel="0" collapsed="false">
      <c r="A1" s="15" t="s">
        <v>552</v>
      </c>
      <c r="B1" s="16"/>
      <c r="C1" s="16"/>
      <c r="D1" s="16"/>
      <c r="E1" s="16"/>
      <c r="F1" s="16"/>
      <c r="G1" s="16"/>
      <c r="H1" s="16"/>
    </row>
    <row r="2" customFormat="false" ht="15" hidden="false" customHeight="true" outlineLevel="0" collapsed="false">
      <c r="A2" s="17" t="s">
        <v>553</v>
      </c>
      <c r="B2" s="16"/>
      <c r="C2" s="16"/>
      <c r="D2" s="16"/>
      <c r="E2" s="16"/>
      <c r="F2" s="16"/>
      <c r="G2" s="16"/>
      <c r="H2" s="16"/>
    </row>
    <row r="3" customFormat="false" ht="15" hidden="false" customHeight="true" outlineLevel="0" collapsed="false">
      <c r="A3" s="18"/>
      <c r="B3" s="16"/>
      <c r="C3" s="16"/>
      <c r="D3" s="16"/>
      <c r="E3" s="16"/>
      <c r="F3" s="16"/>
      <c r="G3" s="16"/>
      <c r="H3" s="16"/>
    </row>
    <row r="4" customFormat="false" ht="15" hidden="false" customHeight="true" outlineLevel="0" collapsed="false">
      <c r="A4" s="19" t="s">
        <v>1</v>
      </c>
      <c r="B4" s="20" t="s">
        <v>11</v>
      </c>
      <c r="C4" s="20" t="s">
        <v>25</v>
      </c>
      <c r="D4" s="20" t="s">
        <v>457</v>
      </c>
      <c r="E4" s="20" t="s">
        <v>44</v>
      </c>
      <c r="F4" s="20" t="s">
        <v>468</v>
      </c>
      <c r="G4" s="20" t="s">
        <v>69</v>
      </c>
      <c r="H4" s="20" t="s">
        <v>554</v>
      </c>
    </row>
    <row r="5" customFormat="false" ht="15" hidden="false" customHeight="true" outlineLevel="0" collapsed="false">
      <c r="A5" s="21" t="s">
        <v>9</v>
      </c>
      <c r="B5" s="22" t="n">
        <f aca="false">COUNTIFS(Register!$B$2:$B$206,$A5,Register!$D$2:$D$206,B$4)</f>
        <v>3</v>
      </c>
      <c r="C5" s="22" t="n">
        <f aca="false">COUNTIFS(Register!$B$2:$B$206,$A5,Register!$D$2:$D$206,C$4)</f>
        <v>6</v>
      </c>
      <c r="D5" s="22" t="n">
        <f aca="false">COUNTIFS(Register!$B$2:$B$206,$A5,Register!$D$2:$D$206,D$4)</f>
        <v>0</v>
      </c>
      <c r="E5" s="22" t="n">
        <f aca="false">COUNTIFS(Register!$B$2:$B$206,$A5,Register!$D$2:$D$206,E$4)</f>
        <v>9</v>
      </c>
      <c r="F5" s="22" t="n">
        <f aca="false">COUNTIFS(Register!$B$2:$B$206,$A5,Register!$D$2:$D$206,F$4)</f>
        <v>0</v>
      </c>
      <c r="G5" s="22" t="n">
        <f aca="false">COUNTIFS(Register!$B$2:$B$206,$A5,Register!$D$2:$D$206,G$4)</f>
        <v>6</v>
      </c>
      <c r="H5" s="22" t="n">
        <f aca="false">SUM(B5:G5)</f>
        <v>24</v>
      </c>
    </row>
    <row r="6" customFormat="false" ht="15" hidden="false" customHeight="true" outlineLevel="0" collapsed="false">
      <c r="A6" s="21" t="s">
        <v>86</v>
      </c>
      <c r="B6" s="22" t="n">
        <f aca="false">COUNTIFS(Register!$B$2:$B$206,$A6,Register!$D$2:$D$206,B$4)</f>
        <v>6</v>
      </c>
      <c r="C6" s="22" t="n">
        <f aca="false">COUNTIFS(Register!$B$2:$B$206,$A6,Register!$D$2:$D$206,C$4)</f>
        <v>16</v>
      </c>
      <c r="D6" s="22" t="n">
        <f aca="false">COUNTIFS(Register!$B$2:$B$206,$A6,Register!$D$2:$D$206,D$4)</f>
        <v>0</v>
      </c>
      <c r="E6" s="22" t="n">
        <f aca="false">COUNTIFS(Register!$B$2:$B$206,$A6,Register!$D$2:$D$206,E$4)</f>
        <v>10</v>
      </c>
      <c r="F6" s="22" t="n">
        <f aca="false">COUNTIFS(Register!$B$2:$B$206,$A6,Register!$D$2:$D$206,F$4)</f>
        <v>0</v>
      </c>
      <c r="G6" s="22" t="n">
        <f aca="false">COUNTIFS(Register!$B$2:$B$206,$A6,Register!$D$2:$D$206,G$4)</f>
        <v>1</v>
      </c>
      <c r="H6" s="22" t="n">
        <f aca="false">SUM(B6:G6)</f>
        <v>33</v>
      </c>
    </row>
    <row r="7" customFormat="false" ht="15" hidden="false" customHeight="true" outlineLevel="0" collapsed="false">
      <c r="A7" s="21" t="s">
        <v>174</v>
      </c>
      <c r="B7" s="22" t="n">
        <f aca="false">COUNTIFS(Register!$B$2:$B$206,$A7,Register!$D$2:$D$206,B$4)</f>
        <v>13</v>
      </c>
      <c r="C7" s="22" t="n">
        <f aca="false">COUNTIFS(Register!$B$2:$B$206,$A7,Register!$D$2:$D$206,C$4)</f>
        <v>12</v>
      </c>
      <c r="D7" s="22" t="n">
        <f aca="false">COUNTIFS(Register!$B$2:$B$206,$A7,Register!$D$2:$D$206,D$4)</f>
        <v>0</v>
      </c>
      <c r="E7" s="22" t="n">
        <f aca="false">COUNTIFS(Register!$B$2:$B$206,$A7,Register!$D$2:$D$206,E$4)</f>
        <v>6</v>
      </c>
      <c r="F7" s="22" t="n">
        <f aca="false">COUNTIFS(Register!$B$2:$B$206,$A7,Register!$D$2:$D$206,F$4)</f>
        <v>0</v>
      </c>
      <c r="G7" s="22" t="n">
        <f aca="false">COUNTIFS(Register!$B$2:$B$206,$A7,Register!$D$2:$D$206,G$4)</f>
        <v>0</v>
      </c>
      <c r="H7" s="22" t="n">
        <f aca="false">SUM(B7:G7)</f>
        <v>31</v>
      </c>
    </row>
    <row r="8" customFormat="false" ht="15" hidden="false" customHeight="true" outlineLevel="0" collapsed="false">
      <c r="A8" s="21" t="s">
        <v>255</v>
      </c>
      <c r="B8" s="22" t="n">
        <f aca="false">COUNTIFS(Register!$B$2:$B$206,$A8,Register!$D$2:$D$206,B$4)</f>
        <v>5</v>
      </c>
      <c r="C8" s="22" t="n">
        <f aca="false">COUNTIFS(Register!$B$2:$B$206,$A8,Register!$D$2:$D$206,C$4)</f>
        <v>8</v>
      </c>
      <c r="D8" s="22" t="n">
        <f aca="false">COUNTIFS(Register!$B$2:$B$206,$A8,Register!$D$2:$D$206,D$4)</f>
        <v>0</v>
      </c>
      <c r="E8" s="22" t="n">
        <f aca="false">COUNTIFS(Register!$B$2:$B$206,$A8,Register!$D$2:$D$206,E$4)</f>
        <v>13</v>
      </c>
      <c r="F8" s="22" t="n">
        <f aca="false">COUNTIFS(Register!$B$2:$B$206,$A8,Register!$D$2:$D$206,F$4)</f>
        <v>0</v>
      </c>
      <c r="G8" s="22" t="n">
        <f aca="false">COUNTIFS(Register!$B$2:$B$206,$A8,Register!$D$2:$D$206,G$4)</f>
        <v>4</v>
      </c>
      <c r="H8" s="22" t="n">
        <f aca="false">SUM(B8:G8)</f>
        <v>30</v>
      </c>
    </row>
    <row r="9" customFormat="false" ht="15" hidden="false" customHeight="true" outlineLevel="0" collapsed="false">
      <c r="A9" s="21" t="s">
        <v>328</v>
      </c>
      <c r="B9" s="22" t="n">
        <f aca="false">COUNTIFS(Register!$B$2:$B$206,$A9,Register!$D$2:$D$206,B$4)</f>
        <v>3</v>
      </c>
      <c r="C9" s="22" t="n">
        <f aca="false">COUNTIFS(Register!$B$2:$B$206,$A9,Register!$D$2:$D$206,C$4)</f>
        <v>9</v>
      </c>
      <c r="D9" s="22" t="n">
        <f aca="false">COUNTIFS(Register!$B$2:$B$206,$A9,Register!$D$2:$D$206,D$4)</f>
        <v>0</v>
      </c>
      <c r="E9" s="22" t="n">
        <f aca="false">COUNTIFS(Register!$B$2:$B$206,$A9,Register!$D$2:$D$206,E$4)</f>
        <v>6</v>
      </c>
      <c r="F9" s="22" t="n">
        <f aca="false">COUNTIFS(Register!$B$2:$B$206,$A9,Register!$D$2:$D$206,F$4)</f>
        <v>0</v>
      </c>
      <c r="G9" s="22" t="n">
        <f aca="false">COUNTIFS(Register!$B$2:$B$206,$A9,Register!$D$2:$D$206,G$4)</f>
        <v>2</v>
      </c>
      <c r="H9" s="22" t="n">
        <f aca="false">SUM(B9:G9)</f>
        <v>20</v>
      </c>
    </row>
    <row r="10" customFormat="false" ht="15" hidden="false" customHeight="true" outlineLevel="0" collapsed="false">
      <c r="A10" s="21" t="s">
        <v>373</v>
      </c>
      <c r="B10" s="22" t="n">
        <f aca="false">COUNTIFS(Register!$B$2:$B$206,$A10,Register!$D$2:$D$206,B$4)</f>
        <v>7</v>
      </c>
      <c r="C10" s="22" t="n">
        <f aca="false">COUNTIFS(Register!$B$2:$B$206,$A10,Register!$D$2:$D$206,C$4)</f>
        <v>19</v>
      </c>
      <c r="D10" s="22" t="n">
        <f aca="false">COUNTIFS(Register!$B$2:$B$206,$A10,Register!$D$2:$D$206,D$4)</f>
        <v>2</v>
      </c>
      <c r="E10" s="22" t="n">
        <f aca="false">COUNTIFS(Register!$B$2:$B$206,$A10,Register!$D$2:$D$206,E$4)</f>
        <v>12</v>
      </c>
      <c r="F10" s="22" t="n">
        <f aca="false">COUNTIFS(Register!$B$2:$B$206,$A10,Register!$D$2:$D$206,F$4)</f>
        <v>3</v>
      </c>
      <c r="G10" s="22" t="n">
        <f aca="false">COUNTIFS(Register!$B$2:$B$206,$A10,Register!$D$2:$D$206,G$4)</f>
        <v>4</v>
      </c>
      <c r="H10" s="22" t="n">
        <f aca="false">SUM(B10:G10)</f>
        <v>47</v>
      </c>
    </row>
    <row r="11" customFormat="false" ht="15" hidden="false" customHeight="true" outlineLevel="0" collapsed="false">
      <c r="A11" s="21" t="s">
        <v>483</v>
      </c>
      <c r="B11" s="22" t="n">
        <f aca="false">COUNTIFS(Register!$B$2:$B$206,$A11,Register!$D$2:$D$206,B$4)</f>
        <v>5</v>
      </c>
      <c r="C11" s="22" t="n">
        <f aca="false">COUNTIFS(Register!$B$2:$B$206,$A11,Register!$D$2:$D$206,C$4)</f>
        <v>7</v>
      </c>
      <c r="D11" s="22" t="n">
        <f aca="false">COUNTIFS(Register!$B$2:$B$206,$A11,Register!$D$2:$D$206,D$4)</f>
        <v>0</v>
      </c>
      <c r="E11" s="22" t="n">
        <f aca="false">COUNTIFS(Register!$B$2:$B$206,$A11,Register!$D$2:$D$206,E$4)</f>
        <v>8</v>
      </c>
      <c r="F11" s="22" t="n">
        <f aca="false">COUNTIFS(Register!$B$2:$B$206,$A11,Register!$D$2:$D$206,F$4)</f>
        <v>0</v>
      </c>
      <c r="G11" s="22" t="n">
        <f aca="false">COUNTIFS(Register!$B$2:$B$206,$A11,Register!$D$2:$D$206,G$4)</f>
        <v>0</v>
      </c>
      <c r="H11" s="22" t="n">
        <f aca="false">SUM(B11:G11)</f>
        <v>20</v>
      </c>
    </row>
    <row r="12" customFormat="false" ht="15" hidden="false" customHeight="true" outlineLevel="0" collapsed="false">
      <c r="A12" s="21" t="s">
        <v>554</v>
      </c>
      <c r="B12" s="23" t="n">
        <f aca="false">SUM(B5:B11)</f>
        <v>42</v>
      </c>
      <c r="C12" s="23" t="n">
        <f aca="false">SUM(C5:C11)</f>
        <v>77</v>
      </c>
      <c r="D12" s="23" t="n">
        <f aca="false">SUM(D5:D11)</f>
        <v>2</v>
      </c>
      <c r="E12" s="23" t="n">
        <f aca="false">SUM(E5:E11)</f>
        <v>64</v>
      </c>
      <c r="F12" s="23" t="n">
        <f aca="false">SUM(F5:F11)</f>
        <v>3</v>
      </c>
      <c r="G12" s="23" t="n">
        <f aca="false">SUM(G5:G11)</f>
        <v>17</v>
      </c>
      <c r="H12" s="23" t="n">
        <f aca="false">SUM(H5:H11)</f>
        <v>205</v>
      </c>
    </row>
    <row r="13" customFormat="false" ht="15" hidden="false" customHeight="true" outlineLevel="0" collapsed="false">
      <c r="A13" s="21"/>
      <c r="B13" s="22"/>
      <c r="C13" s="22"/>
      <c r="D13" s="22"/>
      <c r="E13" s="22"/>
      <c r="F13" s="22"/>
      <c r="G13" s="22"/>
      <c r="H13" s="22"/>
    </row>
    <row r="14" customFormat="false" ht="15" hidden="false" customHeight="true" outlineLevel="0" collapsed="false">
      <c r="A14" s="21" t="s">
        <v>555</v>
      </c>
      <c r="B14" s="22"/>
      <c r="C14" s="22"/>
      <c r="D14" s="22"/>
      <c r="E14" s="22"/>
      <c r="F14" s="22"/>
      <c r="G14" s="22"/>
      <c r="H14" s="22"/>
    </row>
    <row r="15" customFormat="false" ht="15" hidden="false" customHeight="true" outlineLevel="0" collapsed="false">
      <c r="A15" s="21" t="s">
        <v>27</v>
      </c>
      <c r="B15" s="22" t="n">
        <f aca="false">COUNTIF(Register!$F$2:$F$206,$A15)</f>
        <v>164</v>
      </c>
      <c r="C15" s="22"/>
      <c r="D15" s="22"/>
      <c r="E15" s="22"/>
      <c r="F15" s="22"/>
      <c r="G15" s="22"/>
      <c r="H15" s="22"/>
    </row>
    <row r="16" customFormat="false" ht="15" hidden="false" customHeight="true" outlineLevel="0" collapsed="false">
      <c r="A16" s="21" t="s">
        <v>130</v>
      </c>
      <c r="B16" s="22" t="n">
        <f aca="false">COUNTIF(Register!$F$2:$F$206,$A16)</f>
        <v>5</v>
      </c>
      <c r="C16" s="22"/>
      <c r="D16" s="22"/>
      <c r="E16" s="22"/>
      <c r="F16" s="22"/>
      <c r="G16" s="22"/>
      <c r="H16" s="22"/>
    </row>
    <row r="17" customFormat="false" ht="15" hidden="false" customHeight="true" outlineLevel="0" collapsed="false">
      <c r="A17" s="21" t="s">
        <v>13</v>
      </c>
      <c r="B17" s="22" t="n">
        <f aca="false">COUNTIF(Register!$F$2:$F$206,"Fixed")</f>
        <v>31</v>
      </c>
      <c r="C17" s="22"/>
      <c r="D17" s="22"/>
      <c r="E17" s="22"/>
      <c r="F17" s="22"/>
      <c r="G17" s="22"/>
      <c r="H17" s="22"/>
    </row>
    <row r="18" customFormat="false" ht="15" hidden="false" customHeight="true" outlineLevel="0" collapsed="false">
      <c r="A18" s="21" t="s">
        <v>556</v>
      </c>
      <c r="B18" s="22" t="n">
        <f aca="false">COUNTIF(Register!$F$2:$F$206,$A18)</f>
        <v>0</v>
      </c>
      <c r="C18" s="22"/>
      <c r="D18" s="22"/>
      <c r="E18" s="22"/>
      <c r="F18" s="22"/>
      <c r="G18" s="22"/>
      <c r="H18" s="22"/>
    </row>
    <row r="19" customFormat="false" ht="15" hidden="false" customHeight="true" outlineLevel="0" collapsed="false">
      <c r="A19" s="21" t="s">
        <v>326</v>
      </c>
      <c r="B19" s="22" t="n">
        <f aca="false">COUNTIF(Register!$F$2:$F$206,$A19)</f>
        <v>3</v>
      </c>
      <c r="C19" s="22"/>
      <c r="D19" s="22"/>
      <c r="E19" s="22"/>
      <c r="F19" s="22"/>
      <c r="G19" s="22"/>
      <c r="H19" s="22"/>
    </row>
    <row r="20" customFormat="false" ht="15" hidden="false" customHeight="true" outlineLevel="0" collapsed="false">
      <c r="A20" s="21" t="s">
        <v>557</v>
      </c>
      <c r="B20" s="22" t="n">
        <f aca="false">COUNTIF(Register!$G$2:$G$206,"Verified in code")</f>
        <v>40</v>
      </c>
      <c r="C20" s="22"/>
      <c r="D20" s="22"/>
      <c r="E20" s="22"/>
      <c r="F20" s="22"/>
      <c r="G20" s="22"/>
      <c r="H20" s="2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2026-08-04T14:04:17Z</dcterms:created>
  <dc:creator>openpyxl</dc:creator>
  <dc:description/>
  <dc:language>en-US</dc:language>
  <cp:lastModifiedBy/>
  <dcterms:modified xsi:type="dcterms:W3CDTF">2026-08-04T22:44:00Z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