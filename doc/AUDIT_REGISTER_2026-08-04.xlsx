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gister" sheetId="1" state="visible" r:id="rId1"/>
    <sheet xmlns:r="http://schemas.openxmlformats.org/officeDocument/2006/relationships" name="Summary" sheetId="2" state="visible" r:id="rId2"/>
  </sheets>
  <definedNames>
    <definedName name="_xlnm._FilterDatabase" localSheetId="0" hidden="1">'Register'!$A$1:$H$212</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sz val="10"/>
    </font>
    <font>
      <name val="Arial"/>
      <charset val="1"/>
      <family val="0"/>
      <b val="1"/>
      <color rgb="FF38761D"/>
      <sz val="10"/>
    </font>
    <font>
      <name val="Arial"/>
      <charset val="1"/>
      <family val="0"/>
      <b val="1"/>
      <color rgb="FF1155CC"/>
      <sz val="10"/>
    </font>
    <font>
      <name val="Arial"/>
      <charset val="1"/>
      <family val="0"/>
      <b val="1"/>
      <color rgb="FFB45F06"/>
      <sz val="10"/>
    </font>
    <font>
      <name val="Arial"/>
      <charset val="1"/>
      <family val="0"/>
      <i val="1"/>
      <color rgb="FF666666"/>
      <sz val="10"/>
    </font>
    <font>
      <name val="Arial"/>
      <charset val="1"/>
      <family val="0"/>
      <b val="1"/>
      <sz val="14"/>
    </font>
  </fonts>
  <fills count="9">
    <fill>
      <patternFill/>
    </fill>
    <fill>
      <patternFill patternType="gray125"/>
    </fill>
    <fill>
      <patternFill patternType="solid">
        <fgColor rgb="FF1F3864"/>
        <bgColor rgb="FF333333"/>
      </patternFill>
    </fill>
    <fill>
      <patternFill patternType="solid">
        <fgColor rgb="FFF4CCCC"/>
        <bgColor rgb="FFD9D9D9"/>
      </patternFill>
    </fill>
    <fill>
      <patternFill patternType="solid">
        <fgColor rgb="FFFCE5CD"/>
        <bgColor rgb="FFFDEBD3"/>
      </patternFill>
    </fill>
    <fill>
      <patternFill patternType="solid">
        <fgColor rgb="FFFFF2CC"/>
        <bgColor rgb="FFFDEBD3"/>
      </patternFill>
    </fill>
    <fill>
      <patternFill patternType="solid">
        <fgColor rgb="FFD9EAD3"/>
        <bgColor rgb="FFD9D9D9"/>
      </patternFill>
    </fill>
    <fill>
      <patternFill patternType="solid">
        <fgColor rgb="FFFDEBD3"/>
        <bgColor rgb="FFFCE5CD"/>
      </patternFill>
    </fill>
    <fill>
      <patternFill patternType="solid">
        <fgColor rgb="FFF3F3D9"/>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3F3D9"/>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DEBD3"/>
          <bgColor rgb="FF000000"/>
        </patternFill>
      </fill>
    </dxf>
    <dxf>
      <fill>
        <patternFill patternType="solid">
          <fgColor rgb="FFFFF2CC"/>
          <bgColor rgb="FF000000"/>
        </patternFill>
      </fill>
    </dxf>
    <dxf>
      <fill>
        <patternFill patternType="solid">
          <fgColor rgb="FF38761D"/>
          <bgColor rgb="FF000000"/>
        </patternFill>
      </fill>
    </dxf>
    <dxf>
      <fill>
        <patternFill patternType="solid">
          <fgColor rgb="FF666666"/>
          <bgColor rgb="FF000000"/>
        </patternFill>
      </fill>
    </dxf>
    <dxf>
      <fill>
        <patternFill patternType="solid">
          <fgColor rgb="FFB45F06"/>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2CC"/>
      <rgbColor rgb="FFFDEBD3"/>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FCE5CD"/>
      <rgbColor rgb="FFD9EAD3"/>
      <rgbColor rgb="FFF3F3D9"/>
      <rgbColor rgb="FF99CCFF"/>
      <rgbColor rgb="FFFF99CC"/>
      <rgbColor rgb="FFCC99FF"/>
      <rgbColor rgb="FFF4CCCC"/>
      <rgbColor rgb="FF3366FF"/>
      <rgbColor rgb="FF33CCCC"/>
      <rgbColor rgb="FF99CC00"/>
      <rgbColor rgb="FFFFCC00"/>
      <rgbColor rgb="FFFF9900"/>
      <rgbColor rgb="FFFF6600"/>
      <rgbColor rgb="FF666666"/>
      <rgbColor rgb="FF969696"/>
      <rgbColor rgb="FF1F3864"/>
      <rgbColor rgb="FF339966"/>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13"/>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1" customWidth="1" style="24" min="1" max="1"/>
    <col width="19" customWidth="1" style="24" min="2" max="2"/>
    <col width="74" customWidth="1" style="24" min="3" max="3"/>
    <col width="12" customWidth="1" style="24" min="4" max="4"/>
    <col width="20" customWidth="1" style="24" min="5" max="5"/>
    <col width="18" customWidth="1" style="24" min="6" max="6"/>
    <col width="16" customWidth="1" style="24" min="7" max="7"/>
    <col width="74" customWidth="1" style="24" min="8" max="8"/>
  </cols>
  <sheetData>
    <row r="1" ht="15" customHeight="1" s="25">
      <c r="A1" s="26" t="inlineStr">
        <is>
          <t>ID</t>
        </is>
      </c>
      <c r="B1" s="26" t="inlineStr">
        <is>
          <t>Audit</t>
        </is>
      </c>
      <c r="C1" s="26" t="inlineStr">
        <is>
          <t>Finding</t>
        </is>
      </c>
      <c r="D1" s="26" t="inlineStr">
        <is>
          <t>Severity</t>
        </is>
      </c>
      <c r="E1" s="26" t="inlineStr">
        <is>
          <t>Fix class</t>
        </is>
      </c>
      <c r="F1" s="26" t="inlineStr">
        <is>
          <t>Status</t>
        </is>
      </c>
      <c r="G1" s="26" t="inlineStr">
        <is>
          <t>Verification</t>
        </is>
      </c>
      <c r="H1" s="26" t="inlineStr">
        <is>
          <t>Verification note / evidence</t>
        </is>
      </c>
    </row>
    <row r="2" ht="23.25" customHeight="1" s="25">
      <c r="A2" s="27" t="inlineStr">
        <is>
          <t>SEC-C1</t>
        </is>
      </c>
      <c r="B2" s="28" t="inlineStr">
        <is>
          <t>Security</t>
        </is>
      </c>
      <c r="C2" s="28" t="inlineStr">
        <is>
          <t>Live production credentials and employee PII committed to the repo, in the one path CI is told not to scan</t>
        </is>
      </c>
      <c r="D2" s="29" t="inlineStr">
        <is>
          <t>Critical</t>
        </is>
      </c>
      <c r="E2" s="28" t="inlineStr">
        <is>
          <t>Process + purge</t>
        </is>
      </c>
      <c r="F2" s="30" t="inlineStr">
        <is>
          <t>Fixed</t>
        </is>
      </c>
      <c r="G2" s="31" t="inlineStr">
        <is>
          <t>Verified in code</t>
        </is>
      </c>
      <c r="H2" s="28" t="inlineStr">
        <is>
          <t>Scanner un-excluded AND pattern set widened; 7 credential files cleaned (5 more than the audit cited, incl. 2 Groq keys CI found). CREDENTIALS ROTATED BY OWNER 2026-08-04. History still contains them — purge declined, rotation makes it harmless.</t>
        </is>
      </c>
    </row>
    <row r="3" ht="23.25" customHeight="1" s="25">
      <c r="A3" s="27" t="inlineStr">
        <is>
          <t>SEC-C2</t>
        </is>
      </c>
      <c r="B3" s="28" t="inlineStr">
        <is>
          <t>Security</t>
        </is>
      </c>
      <c r="C3" s="28" t="inlineStr">
        <is>
          <t>Logout does not end the session; the refresh token stays valid</t>
        </is>
      </c>
      <c r="D3" s="29" t="inlineStr">
        <is>
          <t>Critical</t>
        </is>
      </c>
      <c r="E3" s="28" t="inlineStr">
        <is>
          <t>Code, quick</t>
        </is>
      </c>
      <c r="F3" s="30" t="inlineStr">
        <is>
          <t>Fixed</t>
        </is>
      </c>
      <c r="G3" s="31" t="inlineStr">
        <is>
          <t>Verified in code</t>
        </is>
      </c>
      <c r="H3" s="28" t="inlineStr">
        <is>
          <t>Access tokens now carry `sid`; logout revokes the session from the TOKEN, not a body field the client never sent. Both issuance paths (login + refresh rotation) carry it — a test asserts every signAccessToken call site does. Response reports session_revoked honestly. Verified to FAIL 4/6 against the old service. Commit 809caad.</t>
        </is>
      </c>
    </row>
    <row r="4" ht="23.25" customHeight="1" s="25">
      <c r="A4" s="27" t="inlineStr">
        <is>
          <t>SEC-C3</t>
        </is>
      </c>
      <c r="B4" s="28" t="inlineStr">
        <is>
          <t>Security</t>
        </is>
      </c>
      <c r="C4" s="28" t="inlineStr">
        <is>
          <t>No brute-force protection on any authentication endpoint; failed-login counter never enforced</t>
        </is>
      </c>
      <c r="D4" s="29" t="inlineStr">
        <is>
          <t>Critical</t>
        </is>
      </c>
      <c r="E4" s="28" t="inlineStr">
        <is>
          <t>Code, quick</t>
        </is>
      </c>
      <c r="F4" s="30" t="inlineStr">
        <is>
          <t>Fixed</t>
        </is>
      </c>
      <c r="G4" s="31" t="inlineStr">
        <is>
          <t>Verified in code</t>
        </is>
      </c>
      <c r="H4" s="28" t="inlineStr">
        <is>
          <t>Limiters on all 11 credential surfaces across 3 tiers, AND the failed-login counter is now enforced as a decaying cooldown (migration 0495). 7 assertions on the curve.</t>
        </is>
      </c>
    </row>
    <row r="5" ht="15" customHeight="1" s="25">
      <c r="A5" s="27" t="inlineStr">
        <is>
          <t>SEC-H1</t>
        </is>
      </c>
      <c r="B5" s="28" t="inlineStr">
        <is>
          <t>Security</t>
        </is>
      </c>
      <c r="C5" s="28" t="inlineStr">
        <is>
          <t>The AI assistant executes business writes with no permission check at all</t>
        </is>
      </c>
      <c r="D5" s="32" t="inlineStr">
        <is>
          <t>High</t>
        </is>
      </c>
      <c r="E5" s="28" t="inlineStr">
        <is>
          <t>Code</t>
        </is>
      </c>
      <c r="F5" s="28" t="inlineStr">
        <is>
          <t>Fixed</t>
        </is>
      </c>
      <c r="G5" s="28" t="inlineStr">
        <is>
          <t>Verified</t>
        </is>
      </c>
      <c r="H5" s="28" t="inlineStr">
        <is>
          <t>New services/ai/action-authz.js. `required_permission` was populated by the registrar and SELECTed into the tool list and never compared against anything, so the assistant bypassed the module grant matrix for every authenticated user. Both execution sites now gate: the read path at the tool loop and the confirm path at execution. Grants resolve through identityCache.getGrants - same cache, same TTL, same invalidation as requirePermission - so the two paths cannot drift. FAILS CLOSED: an action whose required_permission is null or unparseable does not execute. Checked at confirm time, not only at propose time, because a human confirmation sits in between and grants can be revoked in it. Proven with the audit's scenario: a WMS-only operator is refused draft_supplier_invoice with no grant AND with can_read only, allowed with can_create; CEO bypass preserved; filterAllowed offers 0 of 2 tools. Verified transition_dossier's catalogue entry (MOD-29:edit) matches its HTTP route exactly - note the audit says that route also carries requireTransitionCapability(APPROVER), which is true of quotation/costing/cash_request/payroll but NOT of operations_file, whose route is requirePermission(MODULE,'edit') only.</t>
        </is>
      </c>
    </row>
    <row r="6" ht="23.25" customHeight="1" s="25">
      <c r="A6" s="27" t="inlineStr">
        <is>
          <t>SEC-H2</t>
        </is>
      </c>
      <c r="B6" s="28" t="inlineStr">
        <is>
          <t>Security</t>
        </is>
      </c>
      <c r="C6" s="28" t="inlineStr">
        <is>
          <t>Platform Console credential-store routes have no capability gate</t>
        </is>
      </c>
      <c r="D6" s="32" t="inlineStr">
        <is>
          <t>High</t>
        </is>
      </c>
      <c r="E6" s="28" t="inlineStr">
        <is>
          <t>Code, quick</t>
        </is>
      </c>
      <c r="F6" s="30" t="inlineStr">
        <is>
          <t>Fixed</t>
        </is>
      </c>
      <c r="G6" s="31" t="inlineStr">
        <is>
          <t>Verified in code</t>
        </is>
      </c>
      <c r="H6" s="28" t="inlineStr">
        <is>
          <t>requireCap on all 8 routes; settings.read/write + migration 0032; structural test asserts all 47 platform routes are gated.</t>
        </is>
      </c>
    </row>
    <row r="7" ht="23.25" customHeight="1" s="25">
      <c r="A7" s="27" t="inlineStr">
        <is>
          <t>SEC-H3</t>
        </is>
      </c>
      <c r="B7" s="28" t="inlineStr">
        <is>
          <t>Security</t>
        </is>
      </c>
      <c r="C7" s="28" t="inlineStr">
        <is>
          <t>Request-body keys become SQL column identifiers on modules using the passthrough validator</t>
        </is>
      </c>
      <c r="D7" s="32" t="inlineStr">
        <is>
          <t>High</t>
        </is>
      </c>
      <c r="E7" s="28" t="inlineStr">
        <is>
          <t>Code</t>
        </is>
      </c>
      <c r="F7" s="28" t="inlineStr">
        <is>
          <t>Fixed</t>
        </is>
      </c>
      <c r="G7" s="28" t="inlineStr">
        <is>
          <t>Verified</t>
        </is>
      </c>
      <c r="H7" s="28" t="inlineStr">
        <is>
          <t>Three layers. (1) query-helpers validates every column identifier against a strict pattern and DOUBLE-QUOTES it, killing the injection half at the one place no module author can bypass. (2) makeRepo accepts `writable`, an explicit allow-list, declared on all 8 control-plane repos - user_session bounded to device_label alone (the audit's scenario: killed_at and user_id were writable, so MOD-67 edit could resurrect a revoked admin session), immutable_ledger to an EMPTY list, app_user excluding failed_logins/last_login_at as well as the hashes, role excluding is_system. (3) New CI gate scripts/check-write-route-validators.js. Proven: the audit's exact payload shape and a quote-escape attempt both 422 as INVALID_FIELD; mass assignment 422s as FIELD_NOT_WRITABLE naming each field; legitimate writes still emit correct quoted SQL. First version of the gate flagged 41 routes because it checked req.body per FILE - tightened to resolve the actual handler, then fixed the 10 real violations it found (godmode /purge, which takes a God-Mode PIN, had no validator at all).</t>
        </is>
      </c>
    </row>
    <row r="8" ht="15" customHeight="1" s="25">
      <c r="A8" s="27" t="inlineStr">
        <is>
          <t>SEC-H4</t>
        </is>
      </c>
      <c r="B8" s="28" t="inlineStr">
        <is>
          <t>Security</t>
        </is>
      </c>
      <c r="C8" s="28" t="inlineStr">
        <is>
          <t>MOD-67 'edit' can take over any account, including the CEO, with no re-authentication</t>
        </is>
      </c>
      <c r="D8" s="32" t="inlineStr">
        <is>
          <t>High</t>
        </is>
      </c>
      <c r="E8" s="28" t="inlineStr">
        <is>
          <t>Code</t>
        </is>
      </c>
      <c r="F8" s="28" t="inlineStr">
        <is>
          <t>Fixed</t>
        </is>
      </c>
      <c r="G8" s="28" t="inlineStr">
        <is>
          <t>Verified</t>
        </is>
      </c>
      <c r="H8" s="28" t="inlineStr">
        <is>
          <t>Three rules in app_user.service. (1) You may not grant a role you do not hold - the general form, because blocking only the CEO role leaves every other privileged role open and is circumvented via any role that itself grants MOD-67. (2) You may not change your own roles, except a NO-OP (the user-edit form posts the whole record, so a strict refusal would 403 an admin changing their own phone number; compared as sets). (3) Only a CEO may set a CEO's password. Proven: self-grant of CEO -&gt; 403 SELF_ROLE_CHANGE; granting CEO or Finance Manager to a colleague -&gt; 403 ROLE_ESCALATION naming the role; granting a role they hold -&gt; allowed; setting the CEO's password -&gt; 403 PRIVILEGED_TARGET; own and ordinary users' passwords still work; a real CEO can still do all of it. Caught a bug pre-ship: the guard called repo.roleNames(client, roleIds), but that function takes a USER id - added roleNamesByIds. Deliberately NOT adding step-up re-auth (also suggested): it needs a UI flow and an SSO decision, and these three rules close the escalation path without it.</t>
        </is>
      </c>
    </row>
    <row r="9" ht="15" customHeight="1" s="25">
      <c r="A9" s="27" t="inlineStr">
        <is>
          <t>SEC-H5</t>
        </is>
      </c>
      <c r="B9" s="28" t="inlineStr">
        <is>
          <t>Security</t>
        </is>
      </c>
      <c r="C9" s="28" t="inlineStr">
        <is>
          <t>Rate limiting is bypassable: trust proxy true with an IP-keyed in-memory store</t>
        </is>
      </c>
      <c r="D9" s="32" t="inlineStr">
        <is>
          <t>High</t>
        </is>
      </c>
      <c r="E9" s="28" t="inlineStr">
        <is>
          <t>Config + code</t>
        </is>
      </c>
      <c r="F9" s="30" t="inlineStr">
        <is>
          <t>Fixed</t>
        </is>
      </c>
      <c r="G9" s="31" t="inlineStr">
        <is>
          <t>Verified in code</t>
        </is>
      </c>
      <c r="H9" s="28" t="inlineStr">
        <is>
          <t>Redis-backed limiter store; trust proxy is now a hop count (TRUST_PROXY_HOPS), not `true`.</t>
        </is>
      </c>
    </row>
    <row r="10" ht="23.25" customHeight="1" s="25">
      <c r="A10" s="27" t="inlineStr">
        <is>
          <t>SEC-H6</t>
        </is>
      </c>
      <c r="B10" s="28" t="inlineStr">
        <is>
          <t>Security</t>
        </is>
      </c>
      <c r="C10" s="28" t="inlineStr">
        <is>
          <t>Portal and platform accounts protected by an 8-char password, no complexity or breach check</t>
        </is>
      </c>
      <c r="D10" s="32" t="inlineStr">
        <is>
          <t>High</t>
        </is>
      </c>
      <c r="E10" s="28" t="inlineStr">
        <is>
          <t>Code, quick</t>
        </is>
      </c>
      <c r="F10" s="28" t="inlineStr">
        <is>
          <t>Fixed</t>
        </is>
      </c>
      <c r="G10" s="28" t="inlineStr">
        <is>
          <t>Verified</t>
        </is>
      </c>
      <c r="H10" s="28" t="inlineStr">
        <is>
          <t>Both tiers now use the real policy. Portal (createUser, setPassword, acceptInvite) had an inline `length &lt; 8` in three places; all three call passwordPolicy.assertStrongPassword with the account's email. In acceptInvite the check MOVED BELOW the token lookup because the local-part rule needs the invitee's email - an invalid token still fails first with the same generic error, so it leaks nothing. Platform: zod min(8) replaced by a strongPassword field (12 chars + 4 character classes) on userCreate/userPassword/admin, plus the async half (HIBP + local-part) in users.service.create/setPassword and provisioning.createAdmin - the last of which creates the TENANT ADMIN who typically receives the CEO role. Proven: 'password' and '12345678', both named in the audit, went from accepted to rejected; 'Password1!' rejected on length; local-part rule fires on Markkelvin99!X for markkelvin@x.com.</t>
        </is>
      </c>
    </row>
    <row r="11" ht="15" customHeight="1" s="25">
      <c r="A11" s="27" t="inlineStr">
        <is>
          <t>SEC-M1</t>
        </is>
      </c>
      <c r="B11" s="28" t="inlineStr">
        <is>
          <t>Security</t>
        </is>
      </c>
      <c r="C11" s="28" t="inlineStr">
        <is>
          <t>Access tokens are not session-bound: revocation does not revoke</t>
        </is>
      </c>
      <c r="D11" s="33" t="inlineStr">
        <is>
          <t>Medium</t>
        </is>
      </c>
      <c r="E11" s="28" t="inlineStr">
        <is>
          <t>Code</t>
        </is>
      </c>
      <c r="F11" s="28" t="inlineStr">
        <is>
          <t>Open</t>
        </is>
      </c>
      <c r="G11" s="28" t="inlineStr">
        <is>
          <t>As reported</t>
        </is>
      </c>
      <c r="H11" s="28" t="n"/>
    </row>
    <row r="12" ht="15" customHeight="1" s="25">
      <c r="A12" s="27" t="inlineStr">
        <is>
          <t>SEC-M2</t>
        </is>
      </c>
      <c r="B12" s="28" t="inlineStr">
        <is>
          <t>Security</t>
        </is>
      </c>
      <c r="C12" s="28" t="inlineStr">
        <is>
          <t>killSession has no ownership predicate</t>
        </is>
      </c>
      <c r="D12" s="33" t="inlineStr">
        <is>
          <t>Medium</t>
        </is>
      </c>
      <c r="E12" s="28" t="inlineStr">
        <is>
          <t>Code, quick</t>
        </is>
      </c>
      <c r="F12" s="30" t="inlineStr">
        <is>
          <t>Fixed</t>
        </is>
      </c>
      <c r="G12" s="31" t="inlineStr">
        <is>
          <t>Verified in code</t>
        </is>
      </c>
      <c r="H12" s="28" t="inlineStr">
        <is>
          <t>killSession is now always scoped to the acting user. Folded into the SEC-C2 fix. Commit 809caad.</t>
        </is>
      </c>
    </row>
    <row r="13" ht="15" customHeight="1" s="25">
      <c r="A13" s="27" t="inlineStr">
        <is>
          <t>SEC-M3</t>
        </is>
      </c>
      <c r="B13" s="28" t="inlineStr">
        <is>
          <t>Security</t>
        </is>
      </c>
      <c r="C13" s="28" t="inlineStr">
        <is>
          <t>Document vault authorization is module-level, not record-level</t>
        </is>
      </c>
      <c r="D13" s="33" t="inlineStr">
        <is>
          <t>Medium</t>
        </is>
      </c>
      <c r="E13" s="28" t="inlineStr">
        <is>
          <t>Code</t>
        </is>
      </c>
      <c r="F13" s="28" t="inlineStr">
        <is>
          <t>Open</t>
        </is>
      </c>
      <c r="G13" s="28" t="inlineStr">
        <is>
          <t>As reported</t>
        </is>
      </c>
      <c r="H13" s="28" t="n"/>
    </row>
    <row r="14" ht="15" customHeight="1" s="25">
      <c r="A14" s="27" t="inlineStr">
        <is>
          <t>SEC-M4</t>
        </is>
      </c>
      <c r="B14" s="28" t="inlineStr">
        <is>
          <t>Security</t>
        </is>
      </c>
      <c r="C14" s="28" t="inlineStr">
        <is>
          <t>The Socket.IO handshake lets the client name its own tenant</t>
        </is>
      </c>
      <c r="D14" s="33" t="inlineStr">
        <is>
          <t>Medium</t>
        </is>
      </c>
      <c r="E14" s="28" t="inlineStr">
        <is>
          <t>Code</t>
        </is>
      </c>
      <c r="F14" s="28" t="inlineStr">
        <is>
          <t>Open</t>
        </is>
      </c>
      <c r="G14" s="28" t="inlineStr">
        <is>
          <t>As reported</t>
        </is>
      </c>
      <c r="H14" s="28" t="n"/>
    </row>
    <row r="15" ht="15" customHeight="1" s="25">
      <c r="A15" s="27" t="inlineStr">
        <is>
          <t>SEC-M5</t>
        </is>
      </c>
      <c r="B15" s="28" t="inlineStr">
        <is>
          <t>Security</t>
        </is>
      </c>
      <c r="C15" s="28" t="inlineStr">
        <is>
          <t>One JWT secret across all three auth tiers, and no tenant claim in any token</t>
        </is>
      </c>
      <c r="D15" s="33" t="inlineStr">
        <is>
          <t>Medium</t>
        </is>
      </c>
      <c r="E15" s="28" t="inlineStr">
        <is>
          <t>Structural</t>
        </is>
      </c>
      <c r="F15" s="28" t="inlineStr">
        <is>
          <t>Open</t>
        </is>
      </c>
      <c r="G15" s="28" t="inlineStr">
        <is>
          <t>As reported</t>
        </is>
      </c>
      <c r="H15" s="28" t="n"/>
    </row>
    <row r="16" ht="15" customHeight="1" s="25">
      <c r="A16" s="27" t="inlineStr">
        <is>
          <t>SEC-M6</t>
        </is>
      </c>
      <c r="B16" s="28" t="inlineStr">
        <is>
          <t>Security</t>
        </is>
      </c>
      <c r="C16" s="28" t="inlineStr">
        <is>
          <t>Platform tier has no session store, no revocation and no 2FA</t>
        </is>
      </c>
      <c r="D16" s="33" t="inlineStr">
        <is>
          <t>Medium</t>
        </is>
      </c>
      <c r="E16" s="28" t="inlineStr">
        <is>
          <t>Structural</t>
        </is>
      </c>
      <c r="F16" s="28" t="inlineStr">
        <is>
          <t>Open</t>
        </is>
      </c>
      <c r="G16" s="28" t="inlineStr">
        <is>
          <t>As reported</t>
        </is>
      </c>
      <c r="H16" s="28" t="n"/>
    </row>
    <row r="17" ht="15" customHeight="1" s="25">
      <c r="A17" s="27" t="inlineStr">
        <is>
          <t>SEC-M7</t>
        </is>
      </c>
      <c r="B17" s="28" t="inlineStr">
        <is>
          <t>Security</t>
        </is>
      </c>
      <c r="C17" s="28" t="inlineStr">
        <is>
          <t>One database credential and one encryption key shared across all tenants</t>
        </is>
      </c>
      <c r="D17" s="33" t="inlineStr">
        <is>
          <t>Medium</t>
        </is>
      </c>
      <c r="E17" s="28" t="inlineStr">
        <is>
          <t>Structural</t>
        </is>
      </c>
      <c r="F17" s="28" t="inlineStr">
        <is>
          <t>Open</t>
        </is>
      </c>
      <c r="G17" s="28" t="inlineStr">
        <is>
          <t>As reported</t>
        </is>
      </c>
      <c r="H17" s="28" t="n"/>
    </row>
    <row r="18" ht="15" customHeight="1" s="25">
      <c r="A18" s="27" t="inlineStr">
        <is>
          <t>SEC-M8</t>
        </is>
      </c>
      <c r="B18" s="28" t="inlineStr">
        <is>
          <t>Security</t>
        </is>
      </c>
      <c r="C18" s="28" t="inlineStr">
        <is>
          <t>CSP permits unsafe-inline scripts application-wide</t>
        </is>
      </c>
      <c r="D18" s="33" t="inlineStr">
        <is>
          <t>Medium</t>
        </is>
      </c>
      <c r="E18" s="28" t="inlineStr">
        <is>
          <t>Config</t>
        </is>
      </c>
      <c r="F18" s="28" t="inlineStr">
        <is>
          <t>Open</t>
        </is>
      </c>
      <c r="G18" s="31" t="inlineStr">
        <is>
          <t>Verified in code</t>
        </is>
      </c>
      <c r="H18" s="28" t="inlineStr">
        <is>
          <t>server.js: script-src ['self','unsafe-inline'], script-src-attr ['unsafe-inline']</t>
        </is>
      </c>
    </row>
    <row r="19" ht="15" customHeight="1" s="25">
      <c r="A19" s="27" t="inlineStr">
        <is>
          <t>SEC-M9</t>
        </is>
      </c>
      <c r="B19" s="28" t="inlineStr">
        <is>
          <t>Security</t>
        </is>
      </c>
      <c r="C19" s="28" t="inlineStr">
        <is>
          <t>Dependency vulnerabilities present, gate non-blocking, no SAST or Dependabot</t>
        </is>
      </c>
      <c r="D19" s="33" t="inlineStr">
        <is>
          <t>Medium</t>
        </is>
      </c>
      <c r="E19" s="28" t="inlineStr">
        <is>
          <t>CI</t>
        </is>
      </c>
      <c r="F19" s="28" t="inlineStr">
        <is>
          <t>Open</t>
        </is>
      </c>
      <c r="G19" s="31" t="inlineStr">
        <is>
          <t>Verified in code</t>
        </is>
      </c>
      <c r="H19" s="28" t="inlineStr">
        <is>
          <t>ci.yaml:79 continue-on-error: true on npm audit</t>
        </is>
      </c>
    </row>
    <row r="20" ht="15" customHeight="1" s="25">
      <c r="A20" s="27" t="inlineStr">
        <is>
          <t>SEC-L1</t>
        </is>
      </c>
      <c r="B20" s="28" t="inlineStr">
        <is>
          <t>Security</t>
        </is>
      </c>
      <c r="C20" s="28" t="inlineStr">
        <is>
          <t>Containers run as root; compose bind-mounts the document vault into them</t>
        </is>
      </c>
      <c r="D20" s="34" t="inlineStr">
        <is>
          <t>Low</t>
        </is>
      </c>
      <c r="E20" s="28" t="inlineStr">
        <is>
          <t>Config, quick</t>
        </is>
      </c>
      <c r="F20" s="28" t="inlineStr">
        <is>
          <t>Open</t>
        </is>
      </c>
      <c r="G20" s="28" t="inlineStr">
        <is>
          <t>As reported</t>
        </is>
      </c>
      <c r="H20" s="28" t="n"/>
    </row>
    <row r="21" ht="23.25" customHeight="1" s="25">
      <c r="A21" s="27" t="inlineStr">
        <is>
          <t>SEC-L2</t>
        </is>
      </c>
      <c r="B21" s="28" t="inlineStr">
        <is>
          <t>Security</t>
        </is>
      </c>
      <c r="C21" s="28" t="inlineStr">
        <is>
          <t>Redis unauthenticated and keyspace not tenant-namespaced; invalidateGrants uses blocking KEYS</t>
        </is>
      </c>
      <c r="D21" s="34" t="inlineStr">
        <is>
          <t>Low</t>
        </is>
      </c>
      <c r="E21" s="28" t="inlineStr">
        <is>
          <t>Config + code</t>
        </is>
      </c>
      <c r="F21" s="28" t="inlineStr">
        <is>
          <t>Open</t>
        </is>
      </c>
      <c r="G21" s="28" t="inlineStr">
        <is>
          <t>As reported</t>
        </is>
      </c>
      <c r="H21" s="28" t="n"/>
    </row>
    <row r="22" ht="23.25" customHeight="1" s="25">
      <c r="A22" s="27" t="inlineStr">
        <is>
          <t>SEC-L3</t>
        </is>
      </c>
      <c r="B22" s="28" t="inlineStr">
        <is>
          <t>Security</t>
        </is>
      </c>
      <c r="C22" s="28" t="inlineStr">
        <is>
          <t>Refresh token in web storage</t>
        </is>
      </c>
      <c r="D22" s="34" t="inlineStr">
        <is>
          <t>Low</t>
        </is>
      </c>
      <c r="E22" s="28" t="inlineStr">
        <is>
          <t>Code (blocked by M8, C2)</t>
        </is>
      </c>
      <c r="F22" s="28" t="inlineStr">
        <is>
          <t>Open</t>
        </is>
      </c>
      <c r="G22" s="28" t="inlineStr">
        <is>
          <t>As reported</t>
        </is>
      </c>
      <c r="H22" s="28" t="n"/>
    </row>
    <row r="23" ht="23.25" customHeight="1" s="25">
      <c r="A23" s="27" t="inlineStr">
        <is>
          <t>SEC-L4</t>
        </is>
      </c>
      <c r="B23" s="28" t="inlineStr">
        <is>
          <t>Security</t>
        </is>
      </c>
      <c r="C23" s="28" t="inlineStr">
        <is>
          <t>Logger redaction misses refresh_token, access_token, password_hash, totp_secret_enc, secret_enc</t>
        </is>
      </c>
      <c r="D23" s="34" t="inlineStr">
        <is>
          <t>Low</t>
        </is>
      </c>
      <c r="E23" s="28" t="inlineStr">
        <is>
          <t>Config, quick</t>
        </is>
      </c>
      <c r="F23" s="30" t="inlineStr">
        <is>
          <t>Fixed</t>
        </is>
      </c>
      <c r="G23" s="31" t="inlineStr">
        <is>
          <t>Verified in code</t>
        </is>
      </c>
      <c r="H23" s="28" t="inlineStr">
        <is>
          <t>REDACT_PATHS widened; both top-level and nested forms generated from SENSITIVE_KEYS.</t>
        </is>
      </c>
    </row>
    <row r="24" ht="15" customHeight="1" s="25">
      <c r="A24" s="27" t="inlineStr">
        <is>
          <t>SEC-L5</t>
        </is>
      </c>
      <c r="B24" s="28" t="inlineStr">
        <is>
          <t>Security</t>
        </is>
      </c>
      <c r="C24" s="28" t="inlineStr">
        <is>
          <t>The anonymous-surface test is shallow - matches authMiddleware anywhere in the router</t>
        </is>
      </c>
      <c r="D24" s="34" t="inlineStr">
        <is>
          <t>Low</t>
        </is>
      </c>
      <c r="E24" s="28" t="inlineStr">
        <is>
          <t>Test, quick</t>
        </is>
      </c>
      <c r="F24" s="28" t="inlineStr">
        <is>
          <t>Open</t>
        </is>
      </c>
      <c r="G24" s="28" t="inlineStr">
        <is>
          <t>As reported</t>
        </is>
      </c>
      <c r="H24" s="28" t="n"/>
    </row>
    <row r="25" ht="15" customHeight="1" s="25">
      <c r="A25" s="27" t="inlineStr">
        <is>
          <t>SEC-L6</t>
        </is>
      </c>
      <c r="B25" s="28" t="inlineStr">
        <is>
          <t>Security</t>
        </is>
      </c>
      <c r="C25" s="28" t="inlineStr">
        <is>
          <t>src/middleware/audit.js is dead code, never imported or mounted</t>
        </is>
      </c>
      <c r="D25" s="34" t="inlineStr">
        <is>
          <t>Low</t>
        </is>
      </c>
      <c r="E25" s="28" t="inlineStr">
        <is>
          <t>Delete</t>
        </is>
      </c>
      <c r="F25" s="30" t="inlineStr">
        <is>
          <t>Fixed</t>
        </is>
      </c>
      <c r="G25" s="31" t="inlineStr">
        <is>
          <t>Verified in code</t>
        </is>
      </c>
      <c r="H25" s="28" t="inlineStr">
        <is>
          <t>src/middleware/audit.js deleted — never imported or mounted, so it read as an active control during review.</t>
        </is>
      </c>
    </row>
    <row r="26" ht="23.25" customHeight="1" s="25">
      <c r="A26" s="27" t="inlineStr">
        <is>
          <t>DI-5.5</t>
        </is>
      </c>
      <c r="B26" s="28" t="inlineStr">
        <is>
          <t>Data Integrity</t>
        </is>
      </c>
      <c r="C26" s="28" t="inlineStr">
        <is>
          <t>Asset depreciation never posts to the GL and records itself as posted</t>
        </is>
      </c>
      <c r="D26" s="29" t="inlineStr">
        <is>
          <t>Critical</t>
        </is>
      </c>
      <c r="E26" s="28" t="inlineStr">
        <is>
          <t>Code, quick</t>
        </is>
      </c>
      <c r="F26" s="30" t="inlineStr">
        <is>
          <t>Fixed</t>
        </is>
      </c>
      <c r="G26" s="31" t="inlineStr">
        <is>
          <t>Verified in code</t>
        </is>
      </c>
      <c r="H26" s="28" t="inlineStr">
        <is>
          <t>Depreciation now reaches the GL: account_code + sourceDocRef, and a ledger rejection FAILS the call instead of setting posted=true with entry_id NULL. 11 assertions, verified to FAIL against the pre-fix file. Sweep found only asset+payroll; a grep-as-a-test blocks a third. Commit 62a9646. NOTE: existing bad rows need scripts/db/reconcile-depreciation.js.</t>
        </is>
      </c>
    </row>
    <row r="27" ht="15" customHeight="1" s="25">
      <c r="A27" s="27" t="inlineStr">
        <is>
          <t>DI-5.1</t>
        </is>
      </c>
      <c r="B27" s="28" t="inlineStr">
        <is>
          <t>Data Integrity</t>
        </is>
      </c>
      <c r="C27" s="28" t="inlineStr">
        <is>
          <t>Inventory balance: no transaction, no lock, no DB floor</t>
        </is>
      </c>
      <c r="D27" s="29" t="inlineStr">
        <is>
          <t>Critical</t>
        </is>
      </c>
      <c r="E27" s="28" t="inlineStr">
        <is>
          <t>Code + constraint</t>
        </is>
      </c>
      <c r="F27" s="30" t="inlineStr">
        <is>
          <t>Fixed</t>
        </is>
      </c>
      <c r="G27" s="31" t="inlineStr">
        <is>
          <t>Verified in code</t>
        </is>
      </c>
      <c r="H27" s="28" t="inlineStr">
        <is>
          <t>inventory move() is now ONE transaction, reads the head FOR UPDATE, and applies a SIGNED delta in SQL with `WHERE qty_on_hand + $2 &gt;= 0` — so the floor is enforced by the database against the row it holds, not by a JS check that ran before the lock. Closes lost-update, the racy guard, and balance/journal divergence. 0497 adds CHECK (qty_on_hand &gt;= 0) as the last line.</t>
        </is>
      </c>
    </row>
    <row r="28" ht="15" customHeight="1" s="25">
      <c r="A28" s="27" t="inlineStr">
        <is>
          <t>DI-5.2</t>
        </is>
      </c>
      <c r="B28" s="28" t="inlineStr">
        <is>
          <t>Data Integrity</t>
        </is>
      </c>
      <c r="C28" s="28" t="inlineStr">
        <is>
          <t>Shared CRUD kit writes business row, event and audit as three separate commits</t>
        </is>
      </c>
      <c r="D28" s="29" t="inlineStr">
        <is>
          <t>Critical</t>
        </is>
      </c>
      <c r="E28" s="28" t="inlineStr">
        <is>
          <t>Code, mechanical</t>
        </is>
      </c>
      <c r="F28" s="30" t="inlineStr">
        <is>
          <t>Fixed</t>
        </is>
      </c>
      <c r="G28" s="31" t="inlineStr">
        <is>
          <t>Verified in code</t>
        </is>
      </c>
      <c r="H28" s="28" t="inlineStr">
        <is>
          <t>shared/db/tx.js atomically(); create/update/archive in the CRUD kit are each one unit. 25 modules build on makeService, so one helper covers all of them. The archive ordering comment is kept but is no longer load-bearing — a failure now rolls back instead of stranding a soft_delete row asserting a deletion that never happened.</t>
        </is>
      </c>
    </row>
    <row r="29" ht="15" customHeight="1" s="25">
      <c r="A29" s="27" t="inlineStr">
        <is>
          <t>DI-1.1</t>
        </is>
      </c>
      <c r="B29" s="28" t="inlineStr">
        <is>
          <t>Data Integrity</t>
        </is>
      </c>
      <c r="C29" s="28" t="inlineStr">
        <is>
          <t>~100 money/quantity columns with no CHECK constraint</t>
        </is>
      </c>
      <c r="D29" s="29" t="inlineStr">
        <is>
          <t>Critical</t>
        </is>
      </c>
      <c r="E29" s="28" t="inlineStr">
        <is>
          <t>Migration + data probe</t>
        </is>
      </c>
      <c r="F29" s="30" t="inlineStr">
        <is>
          <t>Fixed</t>
        </is>
      </c>
      <c r="G29" s="31" t="inlineStr">
        <is>
          <t>Verified in code</t>
        </is>
      </c>
      <c r="H29" s="28" t="inlineStr">
        <is>
          <t>Migration 0497: 71 CHECK constraints (66 non-negative, 5 strictly-positive rates) + asset.useful_life_months &gt; 0. All NOT VALID, so enforced on new writes immediately without failing on historical rows. CURATED not generated — stock_movement.qty is a SIGNED delta and is deliberately excluded, as are kpi_target.target_value and appraisal.actual_value. scripts/db/probe-money-constraints.js finds existing violations before VALIDATE.</t>
        </is>
      </c>
    </row>
    <row r="30" ht="15" customHeight="1" s="25">
      <c r="A30" s="27" t="inlineStr">
        <is>
          <t>DI-1.2</t>
        </is>
      </c>
      <c r="B30" s="28" t="inlineStr">
        <is>
          <t>Data Integrity</t>
        </is>
      </c>
      <c r="C30" s="28" t="inlineStr">
        <is>
          <t>No cross-row sum invariants (over-allocation, over-justification)</t>
        </is>
      </c>
      <c r="D30" s="29" t="inlineStr">
        <is>
          <t>Critical</t>
        </is>
      </c>
      <c r="E30" s="28" t="inlineStr">
        <is>
          <t>Migration + data probe</t>
        </is>
      </c>
      <c r="F30" s="30" t="inlineStr">
        <is>
          <t>Fixed</t>
        </is>
      </c>
      <c r="G30" s="31" t="inlineStr">
        <is>
          <t>Verified in code</t>
        </is>
      </c>
      <c r="H30" s="28" t="inlineStr">
        <is>
          <t>0497: advance.applied_amount &lt;= amount, regie_advance.justified+returned &lt;= amount. NOT VALID for the same reason.</t>
        </is>
      </c>
    </row>
    <row r="31" ht="15" customHeight="1" s="25">
      <c r="A31" s="27" t="inlineStr">
        <is>
          <t>DI-2.1</t>
        </is>
      </c>
      <c r="B31" s="28" t="inlineStr">
        <is>
          <t>Data Integrity</t>
        </is>
      </c>
      <c r="C31" s="28" t="inlineStr">
        <is>
          <t>ON DELETE CASCADE on financial and inventory history</t>
        </is>
      </c>
      <c r="D31" s="29" t="inlineStr">
        <is>
          <t>Critical</t>
        </is>
      </c>
      <c r="E31" s="28" t="inlineStr">
        <is>
          <t>Migration, careful</t>
        </is>
      </c>
      <c r="F31" s="30" t="inlineStr">
        <is>
          <t>Fixed</t>
        </is>
      </c>
      <c r="G31" s="31" t="inlineStr">
        <is>
          <t>Verified in code</t>
        </is>
      </c>
      <c r="H31" s="28" t="inlineStr">
        <is>
          <t>Migration 0498: nine ON DELETE CASCADE FKs on financial and inventory history changed to RESTRICT (depreciation_schedule, payment_allocation, invoice_line, supplier_invoice_line, cash_request_payment, debt_repayment, stock_movement, close_checklist, payroll_run_item). Follows the ledger's own correct pattern: block the parent delete rather than silently destroy the child.</t>
        </is>
      </c>
    </row>
    <row r="32" ht="15" customHeight="1" s="25">
      <c r="A32" s="27" t="inlineStr">
        <is>
          <t>DI-1.3</t>
        </is>
      </c>
      <c r="B32" s="28" t="inlineStr">
        <is>
          <t>Data Integrity</t>
        </is>
      </c>
      <c r="C32" s="28" t="inlineStr">
        <is>
          <t>Multi-currency ledger lines are stored but never reconciled to a base currency</t>
        </is>
      </c>
      <c r="D32" s="32" t="inlineStr">
        <is>
          <t>High</t>
        </is>
      </c>
      <c r="E32" s="28" t="inlineStr">
        <is>
          <t>Migration + code</t>
        </is>
      </c>
      <c r="F32" s="28" t="inlineStr">
        <is>
          <t>Fixed</t>
        </is>
      </c>
      <c r="G32" s="28" t="inlineStr">
        <is>
          <t>Verified</t>
        </is>
      </c>
      <c r="H32" s="28" t="inlineStr">
        <is>
          <t>0499: journal_line.debit_base/credit_base GENERATED ALWAYS from debit*fx_rate; assert_entry_balanced() rewritten to sum the BASE columns with tol=0.01*n. Generated, not app-written, so it cannot drift the way cached_receivables did. Single-currency ledgers unaffected (fx_rate defaults to 1). Every column verified present against parsed DDL.</t>
        </is>
      </c>
    </row>
    <row r="33" ht="15" customHeight="1" s="25">
      <c r="A33" s="27" t="inlineStr">
        <is>
          <t>DI-1.6</t>
        </is>
      </c>
      <c r="B33" s="28" t="inlineStr">
        <is>
          <t>Data Integrity</t>
        </is>
      </c>
      <c r="C33" s="28" t="inlineStr">
        <is>
          <t>doc_number is not unique anywhere</t>
        </is>
      </c>
      <c r="D33" s="32" t="inlineStr">
        <is>
          <t>High</t>
        </is>
      </c>
      <c r="E33" s="28" t="inlineStr">
        <is>
          <t>Migration + dedupe</t>
        </is>
      </c>
      <c r="F33" s="30" t="inlineStr">
        <is>
          <t>Fixed</t>
        </is>
      </c>
      <c r="G33" s="31" t="inlineStr">
        <is>
          <t>Verified in code</t>
        </is>
      </c>
      <c r="H33" s="28" t="inlineStr">
        <is>
          <t>0498: partial UNIQUE indexes on doc_number across all 9 document tables (WHERE NOT NULL, so drafts do not collide). No NOT VALID exists for uniqueness, so scripts/db/probe-doc-numbers.js must run first — it lists collisions before they become a failed deploy.</t>
        </is>
      </c>
    </row>
    <row r="34" ht="15" customHeight="1" s="25">
      <c r="A34" s="27" t="inlineStr">
        <is>
          <t>DI-1.8</t>
        </is>
      </c>
      <c r="B34" s="28" t="inlineStr">
        <is>
          <t>Data Integrity</t>
        </is>
      </c>
      <c r="C34" s="28" t="inlineStr">
        <is>
          <t>tax_code effective windows can overlap, producing wrong VAT silently</t>
        </is>
      </c>
      <c r="D34" s="32" t="inlineStr">
        <is>
          <t>High</t>
        </is>
      </c>
      <c r="E34" s="28" t="inlineStr">
        <is>
          <t>Migration + code</t>
        </is>
      </c>
      <c r="F34" s="28" t="inlineStr">
        <is>
          <t>Fixed</t>
        </is>
      </c>
      <c r="G34" s="28" t="inlineStr">
        <is>
          <t>Verified</t>
        </is>
      </c>
      <c r="H34" s="28" t="inlineStr">
        <is>
          <t>0499: EXCLUDE USING gist (jurisdiction_id =, code =, daterange &amp;&amp; ) on tax_code, btree_gist enabled. Upper bound is effective_to+1 because effective_to is inclusive in this schema. expense_rate gains the window sanity CHECK it never had. Both NOT VALID.</t>
        </is>
      </c>
    </row>
    <row r="35" ht="15" customHeight="1" s="25">
      <c r="A35" s="27" t="inlineStr">
        <is>
          <t>DI-1.9</t>
        </is>
      </c>
      <c r="B35" s="28" t="inlineStr">
        <is>
          <t>Data Integrity</t>
        </is>
      </c>
      <c r="C35" s="28" t="inlineStr">
        <is>
          <t>cached_receivables read but never written; credit limit inert</t>
        </is>
      </c>
      <c r="D35" s="32" t="inlineStr">
        <is>
          <t>High</t>
        </is>
      </c>
      <c r="E35" s="28" t="inlineStr">
        <is>
          <t>Code, quick</t>
        </is>
      </c>
      <c r="F35" s="28" t="inlineStr">
        <is>
          <t>Fixed</t>
        </is>
      </c>
      <c r="G35" s="28" t="inlineStr">
        <is>
          <t>Verified</t>
        </is>
      </c>
      <c r="H35" s="28" t="inlineStr">
        <is>
          <t>repo.outstandingFor() derives the real balance (locked FINAL invoices, less allocations, less credit notes - linked ones net per-invoice via reverses_invoice_id, unlinked ones net at client level). service.creditCheck passes it to creditStatus, which now takes `outstanding` as an argument rather than reading the dead column. Proven: limit 1M / owed 1.2M returned available=1,000,000 within=true before, available=-200,000 within=false after. All 3 access paths indexed. SQL parsed under the postgres dialect.</t>
        </is>
      </c>
    </row>
    <row r="36" ht="15" customHeight="1" s="25">
      <c r="A36" s="27" t="inlineStr">
        <is>
          <t>DI-2.2</t>
        </is>
      </c>
      <c r="B36" s="28" t="inlineStr">
        <is>
          <t>Data Integrity</t>
        </is>
      </c>
      <c r="C36" s="28" t="inlineStr">
        <is>
          <t>295 of 351 foreign keys have no index on the referencing column</t>
        </is>
      </c>
      <c r="D36" s="32" t="inlineStr">
        <is>
          <t>High</t>
        </is>
      </c>
      <c r="E36" s="28" t="inlineStr">
        <is>
          <t>Migration, online</t>
        </is>
      </c>
      <c r="F36" s="28" t="inlineStr">
        <is>
          <t>Fixed</t>
        </is>
      </c>
      <c r="G36" s="28" t="inlineStr">
        <is>
          <t>Verified</t>
        </is>
      </c>
      <c r="H36" s="28" t="inlineStr">
        <is>
          <t>0500: 290 FK indexes. Parsed all 344 FKs from the DDL, 54 already covered. Every table/column pair verified to exist. Plain CREATE INDEX, not CONCURRENTLY - the migrator sends each file as one multi-statement simple query, which is an implicit transaction block.</t>
        </is>
      </c>
    </row>
    <row r="37" ht="15" customHeight="1" s="25">
      <c r="A37" s="27" t="inlineStr">
        <is>
          <t>DI-2.4</t>
        </is>
      </c>
      <c r="B37" s="28" t="inlineStr">
        <is>
          <t>Data Integrity</t>
        </is>
      </c>
      <c r="C37" s="28" t="inlineStr">
        <is>
          <t>Sandbox actor-FK guard applied inconsistently</t>
        </is>
      </c>
      <c r="D37" s="32" t="inlineStr">
        <is>
          <t>High</t>
        </is>
      </c>
      <c r="E37" s="28" t="inlineStr">
        <is>
          <t>Code + design</t>
        </is>
      </c>
      <c r="F37" s="28" t="inlineStr">
        <is>
          <t>Open</t>
        </is>
      </c>
      <c r="G37" s="28" t="inlineStr">
        <is>
          <t>As reported</t>
        </is>
      </c>
      <c r="H37" s="28" t="n"/>
    </row>
    <row r="38" ht="15" customHeight="1" s="25">
      <c r="A38" s="27" t="inlineStr">
        <is>
          <t>DI-3.1</t>
        </is>
      </c>
      <c r="B38" s="28" t="inlineStr">
        <is>
          <t>Data Integrity</t>
        </is>
      </c>
      <c r="C38" s="28" t="inlineStr">
        <is>
          <t>Migration application is not atomic with its ledger entry</t>
        </is>
      </c>
      <c r="D38" s="32" t="inlineStr">
        <is>
          <t>High</t>
        </is>
      </c>
      <c r="E38" s="28" t="inlineStr">
        <is>
          <t>Tooling</t>
        </is>
      </c>
      <c r="F38" s="28" t="inlineStr">
        <is>
          <t>Fixed</t>
        </is>
      </c>
      <c r="G38" s="28" t="inlineStr">
        <is>
          <t>Verified</t>
        </is>
      </c>
      <c r="H38" s="28" t="inlineStr">
        <is>
          <t>migrator.applyTracked now wraps the DDL and the schema_migration INSERT in one explicit transaction. Previously two round-trips: a crash between them left the schema changed but unrecorded, and the next run re-applied the file - harmless for CREATE TABLE IF NOT EXISTS, destructive for an ALTER with a backfill or a seed INSERT. Proven with a connection model: OLD leaves DDL durable + ledger unwritten, NEW leaves neither. Nothing lost by wrapping - verified 0 of 99 migration files use CONCURRENTLY/VACUUM outside comments.</t>
        </is>
      </c>
    </row>
    <row r="39" ht="15" customHeight="1" s="25">
      <c r="A39" s="27" t="inlineStr">
        <is>
          <t>DI-3.2</t>
        </is>
      </c>
      <c r="B39" s="28" t="inlineStr">
        <is>
          <t>Data Integrity</t>
        </is>
      </c>
      <c r="C39" s="28" t="inlineStr">
        <is>
          <t>A partial fleet upgrade leaves tenants on different schema versions</t>
        </is>
      </c>
      <c r="D39" s="32" t="inlineStr">
        <is>
          <t>High</t>
        </is>
      </c>
      <c r="E39" s="28" t="inlineStr">
        <is>
          <t>Tooling</t>
        </is>
      </c>
      <c r="F39" s="28" t="inlineStr">
        <is>
          <t>Open</t>
        </is>
      </c>
      <c r="G39" s="28" t="inlineStr">
        <is>
          <t>As reported</t>
        </is>
      </c>
      <c r="H39" s="28" t="n"/>
    </row>
    <row r="40" ht="15" customHeight="1" s="25">
      <c r="A40" s="27" t="inlineStr">
        <is>
          <t>DI-3.3</t>
        </is>
      </c>
      <c r="B40" s="28" t="inlineStr">
        <is>
          <t>Data Integrity</t>
        </is>
      </c>
      <c r="C40" s="28" t="inlineStr">
        <is>
          <t>Migration files and the live schema have already drifted (notification_preference)</t>
        </is>
      </c>
      <c r="D40" s="32" t="inlineStr">
        <is>
          <t>High</t>
        </is>
      </c>
      <c r="E40" s="28" t="inlineStr">
        <is>
          <t>Verify + tooling</t>
        </is>
      </c>
      <c r="F40" s="28" t="inlineStr">
        <is>
          <t>Open</t>
        </is>
      </c>
      <c r="G40" s="28" t="inlineStr">
        <is>
          <t>As reported</t>
        </is>
      </c>
      <c r="H40" s="28" t="n"/>
    </row>
    <row r="41" ht="15" customHeight="1" s="25">
      <c r="A41" s="27" t="inlineStr">
        <is>
          <t>DI-3.5</t>
        </is>
      </c>
      <c r="B41" s="28" t="inlineStr">
        <is>
          <t>Data Integrity</t>
        </is>
      </c>
      <c r="C41" s="28" t="inlineStr">
        <is>
          <t>No migration is reversible; no down concept exists in the tooling</t>
        </is>
      </c>
      <c r="D41" s="32" t="inlineStr">
        <is>
          <t>High</t>
        </is>
      </c>
      <c r="E41" s="28" t="inlineStr">
        <is>
          <t>Policy</t>
        </is>
      </c>
      <c r="F41" s="35" t="inlineStr">
        <is>
          <t>Partially fixed</t>
        </is>
      </c>
      <c r="G41" s="28" t="inlineStr">
        <is>
          <t>As reported</t>
        </is>
      </c>
      <c r="H41" s="28" t="inlineStr">
        <is>
          <t>New migrations must declare -- DOWN or -- IRREVERSIBLE (CI gate). The 92 pre-existing migrations are still irreversible and deliberately not retro-fitted.</t>
        </is>
      </c>
    </row>
    <row r="42" ht="15" customHeight="1" s="25">
      <c r="A42" s="27" t="inlineStr">
        <is>
          <t>DI-5.3</t>
        </is>
      </c>
      <c r="B42" s="28" t="inlineStr">
        <is>
          <t>Data Integrity</t>
        </is>
      </c>
      <c r="C42" s="28" t="inlineStr">
        <is>
          <t>Receipt allocation reads unlocked and can over-allocate</t>
        </is>
      </c>
      <c r="D42" s="32" t="inlineStr">
        <is>
          <t>High</t>
        </is>
      </c>
      <c r="E42" s="28" t="inlineStr">
        <is>
          <t>Code + constraint</t>
        </is>
      </c>
      <c r="F42" s="30" t="inlineStr">
        <is>
          <t>Fixed</t>
        </is>
      </c>
      <c r="G42" s="31" t="inlineStr">
        <is>
          <t>Verified in code</t>
        </is>
      </c>
      <c r="H42" s="28" t="inlineStr">
        <is>
          <t>repo.openInvoices({forUpdate}) locks the invoice rows in the same order the FIFO allocation walks them (oldest first — also a consistent lock order, so two concurrent receipts cannot deadlock). Only post(), which writes allocations, locks; the read-only callers do not. Over-allocation made outstanding negative, which then HID the invoice from ageing and dunning because the query filters outstanding &gt; 0.</t>
        </is>
      </c>
    </row>
    <row r="43" ht="15" customHeight="1" s="25">
      <c r="A43" s="27" t="inlineStr">
        <is>
          <t>DI-5.4</t>
        </is>
      </c>
      <c r="B43" s="28" t="inlineStr">
        <is>
          <t>Data Integrity</t>
        </is>
      </c>
      <c r="C43" s="28" t="inlineStr">
        <is>
          <t>Tax-code supersession splits across two transactions</t>
        </is>
      </c>
      <c r="D43" s="32" t="inlineStr">
        <is>
          <t>High</t>
        </is>
      </c>
      <c r="E43" s="28" t="inlineStr">
        <is>
          <t>Code, quick</t>
        </is>
      </c>
      <c r="F43" s="30" t="inlineStr">
        <is>
          <t>Fixed</t>
        </is>
      </c>
      <c r="G43" s="31" t="inlineStr">
        <is>
          <t>Verified in code</t>
        </is>
      </c>
      <c r="H43" s="28" t="inlineStr">
        <is>
          <t>supersedeCode wraps expire + addCode in one transaction via atomically(); addCode joins rather than opening its own. Previously the expiry COMMITTED before the replacement was attempted, so a bad rate left NO row effective from that date — and every invoice from that date forward failed to post until someone inserted it by hand.</t>
        </is>
      </c>
    </row>
    <row r="44" ht="15" customHeight="1" s="25">
      <c r="A44" s="27" t="inlineStr">
        <is>
          <t>DI-6.2</t>
        </is>
      </c>
      <c r="B44" s="28" t="inlineStr">
        <is>
          <t>Data Integrity</t>
        </is>
      </c>
      <c r="C44" s="28" t="inlineStr">
        <is>
          <t>Audit tamper-evidence chain declared but before_hash/after_hash never populated</t>
        </is>
      </c>
      <c r="D44" s="32" t="inlineStr">
        <is>
          <t>High</t>
        </is>
      </c>
      <c r="E44" s="28" t="inlineStr">
        <is>
          <t>Code, quick</t>
        </is>
      </c>
      <c r="F44" s="28" t="inlineStr">
        <is>
          <t>Fixed</t>
        </is>
      </c>
      <c r="G44" s="28" t="inlineStr">
        <is>
          <t>Verified</t>
        </is>
      </c>
      <c r="H44" s="28" t="inlineStr">
        <is>
          <t>0499: ledger_chain_hash() BEFORE INSERT trigger on immutable_ledger writes before_hash (previous row's after_hash) and after_hash (sha256 over the row + the chain). Computed in the database, not the application - the whole finding is that one call site forgot, and a trigger cannot be skipped by a write that bypasses the service layer. pgcrypto confirmed present for digest().</t>
        </is>
      </c>
    </row>
    <row r="45" ht="15" customHeight="1" s="25">
      <c r="A45" s="27" t="inlineStr">
        <is>
          <t>DI-6.3</t>
        </is>
      </c>
      <c r="B45" s="28" t="inlineStr">
        <is>
          <t>Data Integrity</t>
        </is>
      </c>
      <c r="C45" s="28" t="inlineStr">
        <is>
          <t>Financial and inventory mutations audited inconsistently; depends on service discipline</t>
        </is>
      </c>
      <c r="D45" s="32" t="inlineStr">
        <is>
          <t>High</t>
        </is>
      </c>
      <c r="E45" s="28" t="inlineStr">
        <is>
          <t>Code + triggers</t>
        </is>
      </c>
      <c r="F45" s="28" t="inlineStr">
        <is>
          <t>Fixed</t>
        </is>
      </c>
      <c r="G45" s="28" t="inlineStr">
        <is>
          <t>Verified</t>
        </is>
      </c>
      <c r="H45" s="28" t="inlineStr">
        <is>
          <t>crud/resource.js archive passed `before` only, so the ledger could not say whether a record was deactivated or deleted. Now passes `after` too: null on a hard delete, the re-read row when there is an activeColumn. emit.audit already accepted `after` (used by create/update); archive was the outlier.</t>
        </is>
      </c>
    </row>
    <row r="46" ht="15" customHeight="1" s="25">
      <c r="A46" s="27" t="inlineStr">
        <is>
          <t>DI-6.4</t>
        </is>
      </c>
      <c r="B46" s="28" t="inlineStr">
        <is>
          <t>Data Integrity</t>
        </is>
      </c>
      <c r="C46" s="28" t="inlineStr">
        <is>
          <t>stock_movement is mutable, cascade-deleted, and can be incomplete - no audit trail</t>
        </is>
      </c>
      <c r="D46" s="32" t="inlineStr">
        <is>
          <t>High</t>
        </is>
      </c>
      <c r="E46" s="28" t="inlineStr">
        <is>
          <t>Migration</t>
        </is>
      </c>
      <c r="F46" s="28" t="inlineStr">
        <is>
          <t>Fixed</t>
        </is>
      </c>
      <c r="G46" s="28" t="inlineStr">
        <is>
          <t>Verified</t>
        </is>
      </c>
      <c r="H46" s="28" t="inlineStr">
        <is>
          <t>0499: trg_stock_movement_ro BEFORE UPDATE OR DELETE ... forbid_mutation() on stock_movement. inventory.repo.js calls it an append-only journal; it had no such trigger, unlike event_log and immutable_ledger. 0498 stopped the cascade delete, this stops direct mutation.</t>
        </is>
      </c>
    </row>
    <row r="47" ht="15" customHeight="1" s="25">
      <c r="A47" s="27" t="inlineStr">
        <is>
          <t>DI-7.1</t>
        </is>
      </c>
      <c r="B47" s="28" t="inlineStr">
        <is>
          <t>Data Integrity</t>
        </is>
      </c>
      <c r="C47" s="28" t="inlineStr">
        <is>
          <t>Missing uniqueness on document numbers and payment allocations</t>
        </is>
      </c>
      <c r="D47" s="32" t="inlineStr">
        <is>
          <t>High</t>
        </is>
      </c>
      <c r="E47" s="28" t="inlineStr">
        <is>
          <t>Migration + dedupe</t>
        </is>
      </c>
      <c r="F47" s="30" t="inlineStr">
        <is>
          <t>Fixed</t>
        </is>
      </c>
      <c r="G47" s="31" t="inlineStr">
        <is>
          <t>Verified in code</t>
        </is>
      </c>
      <c r="H47" s="28" t="inlineStr">
        <is>
          <t>0497: UNIQUE (receipt_id, invoice_id) on payment_allocation — the same receipt could be allocated to one invoice twice. Plus the doc_number indexes in 0498.</t>
        </is>
      </c>
    </row>
    <row r="48" ht="15" customHeight="1" s="25">
      <c r="A48" s="27" t="inlineStr">
        <is>
          <t>DI-1.4</t>
        </is>
      </c>
      <c r="B48" s="28" t="inlineStr">
        <is>
          <t>Data Integrity</t>
        </is>
      </c>
      <c r="C48" s="28" t="inlineStr">
        <is>
          <t>currency typing inconsistent - 8 columns FK to currency(code), 9 identical ones do not</t>
        </is>
      </c>
      <c r="D48" s="33" t="inlineStr">
        <is>
          <t>Medium</t>
        </is>
      </c>
      <c r="E48" s="28" t="inlineStr">
        <is>
          <t>Migration</t>
        </is>
      </c>
      <c r="F48" s="28" t="inlineStr">
        <is>
          <t>Fixed</t>
        </is>
      </c>
      <c r="G48" s="28" t="inlineStr">
        <is>
          <t>Verified</t>
        </is>
      </c>
      <c r="H48" s="28" t="inlineStr">
        <is>
          <t>0499: FK to currency(code) added on the 7 char(3)/text currency columns that lacked one - dictionary_item, expense_rate, tax_jurisdiction, journal_line, treasury_account, invoice, costing. journal_line was in the unconstrained set, i.e. the ledger itself. NOT VALID so a historical bad code cannot fail the migration; VALIDATE after probing.</t>
        </is>
      </c>
    </row>
    <row r="49" ht="15" customHeight="1" s="25">
      <c r="A49" s="27" t="inlineStr">
        <is>
          <t>DI-1.5</t>
        </is>
      </c>
      <c r="B49" s="28" t="inlineStr">
        <is>
          <t>Data Integrity</t>
        </is>
      </c>
      <c r="C49" s="28" t="inlineStr">
        <is>
          <t>chart_of_accounts and other self-referencing hierarchies have no cycle guard</t>
        </is>
      </c>
      <c r="D49" s="33" t="inlineStr">
        <is>
          <t>Medium</t>
        </is>
      </c>
      <c r="E49" s="28" t="inlineStr">
        <is>
          <t>Migration</t>
        </is>
      </c>
      <c r="F49" s="30" t="inlineStr">
        <is>
          <t>Fixed</t>
        </is>
      </c>
      <c r="G49" s="31" t="inlineStr">
        <is>
          <t>Verified in code</t>
        </is>
      </c>
      <c r="H49" s="28" t="inlineStr">
        <is>
          <t>0497: chart_of_accounts cannot be its own parent — a row made its own parent spun every recursive walk.</t>
        </is>
      </c>
    </row>
    <row r="50" ht="15" customHeight="1" s="25">
      <c r="A50" s="27" t="inlineStr">
        <is>
          <t>DI-2.3</t>
        </is>
      </c>
      <c r="B50" s="28" t="inlineStr">
        <is>
          <t>Data Integrity</t>
        </is>
      </c>
      <c r="C50" s="28" t="inlineStr">
        <is>
          <t>No ON UPDATE clause on any foreign key</t>
        </is>
      </c>
      <c r="D50" s="33" t="inlineStr">
        <is>
          <t>Medium</t>
        </is>
      </c>
      <c r="E50" s="28" t="inlineStr">
        <is>
          <t>Decision</t>
        </is>
      </c>
      <c r="F50" s="28" t="inlineStr">
        <is>
          <t>Open</t>
        </is>
      </c>
      <c r="G50" s="28" t="inlineStr">
        <is>
          <t>As reported</t>
        </is>
      </c>
      <c r="H50" s="28" t="n"/>
    </row>
    <row r="51" ht="15" customHeight="1" s="25">
      <c r="A51" s="27" t="inlineStr">
        <is>
          <t>DI-3.4</t>
        </is>
      </c>
      <c r="B51" s="28" t="inlineStr">
        <is>
          <t>Data Integrity</t>
        </is>
      </c>
      <c r="C51" s="28" t="inlineStr">
        <is>
          <t>Duplicate migration numbers - correctly diagnosed and correctly left alone</t>
        </is>
      </c>
      <c r="D51" s="33" t="inlineStr">
        <is>
          <t>Medium</t>
        </is>
      </c>
      <c r="E51" s="28" t="inlineStr">
        <is>
          <t>Prevention only</t>
        </is>
      </c>
      <c r="F51" s="28" t="inlineStr">
        <is>
          <t>Open</t>
        </is>
      </c>
      <c r="G51" s="28" t="inlineStr">
        <is>
          <t>As reported</t>
        </is>
      </c>
      <c r="H51" s="28" t="n"/>
    </row>
    <row r="52" ht="15" customHeight="1" s="25">
      <c r="A52" s="27" t="inlineStr">
        <is>
          <t>DI-3.6</t>
        </is>
      </c>
      <c r="B52" s="28" t="inlineStr">
        <is>
          <t>Data Integrity</t>
        </is>
      </c>
      <c r="C52" s="28" t="inlineStr">
        <is>
          <t>EXCEPTION WHEN OTHERS THEN NULL in data-seeding migrations 0467/0468</t>
        </is>
      </c>
      <c r="D52" s="33" t="inlineStr">
        <is>
          <t>Medium</t>
        </is>
      </c>
      <c r="E52" s="28" t="inlineStr">
        <is>
          <t>Forward-fix</t>
        </is>
      </c>
      <c r="F52" s="28" t="inlineStr">
        <is>
          <t>Open</t>
        </is>
      </c>
      <c r="G52" s="28" t="inlineStr">
        <is>
          <t>As reported</t>
        </is>
      </c>
      <c r="H52" s="28" t="n"/>
    </row>
    <row r="53" ht="15" customHeight="1" s="25">
      <c r="A53" s="27" t="inlineStr">
        <is>
          <t>DI-4.1</t>
        </is>
      </c>
      <c r="B53" s="28" t="inlineStr">
        <is>
          <t>Data Integrity</t>
        </is>
      </c>
      <c r="C53" s="28" t="inlineStr">
        <is>
          <t>The RLS apparatus references a migration that does not exist</t>
        </is>
      </c>
      <c r="D53" s="33" t="inlineStr">
        <is>
          <t>Medium</t>
        </is>
      </c>
      <c r="E53" s="28" t="inlineStr">
        <is>
          <t>Remove or implement</t>
        </is>
      </c>
      <c r="F53" s="30" t="inlineStr">
        <is>
          <t>Fixed</t>
        </is>
      </c>
      <c r="G53" s="31" t="inlineStr">
        <is>
          <t>Verified in code</t>
        </is>
      </c>
      <c r="H53" s="28" t="inlineStr">
        <is>
          <t>The RLS apparatus is gone: RLS_READ_ENFORCE, queryWithContext, and the superuser warning. Confirmed zero CREATE POLICY / ROW LEVEL SECURITY anywhere in migrations/ — it set a GUC for policies that do not exist, costing a round-trip per read and filtering nothing while reading as though isolation were on.</t>
        </is>
      </c>
    </row>
    <row r="54" ht="15" customHeight="1" s="25">
      <c r="A54" s="27" t="inlineStr">
        <is>
          <t>DI-4.2</t>
        </is>
      </c>
      <c r="B54" s="28" t="inlineStr">
        <is>
          <t>Data Integrity</t>
        </is>
      </c>
      <c r="C54" s="28" t="inlineStr">
        <is>
          <t>32 references to a non-existent shared.* schema</t>
        </is>
      </c>
      <c r="D54" s="33" t="inlineStr">
        <is>
          <t>Medium</t>
        </is>
      </c>
      <c r="E54" s="28" t="inlineStr">
        <is>
          <t>Remove</t>
        </is>
      </c>
      <c r="F54" s="30" t="inlineStr">
        <is>
          <t>Fixed</t>
        </is>
      </c>
      <c r="G54" s="31" t="inlineStr">
        <is>
          <t>Verified in code</t>
        </is>
      </c>
      <c r="H54" s="28" t="inlineStr">
        <is>
          <t>services/numbering.service.js and services/notifications.service.js deleted (verified zero importers each). push.service.js's `shared.push_subscription` fallback removed — the schema has never existed, so the branch could only ever return 'no table', and its sole caller was one of the deleted files.</t>
        </is>
      </c>
    </row>
    <row r="55" ht="15" customHeight="1" s="25">
      <c r="A55" s="27" t="inlineStr">
        <is>
          <t>DI-5.6</t>
        </is>
      </c>
      <c r="B55" s="28" t="inlineStr">
        <is>
          <t>Data Integrity</t>
        </is>
      </c>
      <c r="C55" s="28" t="inlineStr">
        <is>
          <t>Tenant provisioning and sandbox wipe are not transactional</t>
        </is>
      </c>
      <c r="D55" s="33" t="inlineStr">
        <is>
          <t>Medium</t>
        </is>
      </c>
      <c r="E55" s="28" t="inlineStr">
        <is>
          <t>Code</t>
        </is>
      </c>
      <c r="F55" s="28" t="inlineStr">
        <is>
          <t>Open</t>
        </is>
      </c>
      <c r="G55" s="28" t="inlineStr">
        <is>
          <t>As reported</t>
        </is>
      </c>
      <c r="H55" s="28" t="n"/>
    </row>
    <row r="56" ht="15" customHeight="1" s="25">
      <c r="A56" s="27" t="inlineStr">
        <is>
          <t>DI-6.5</t>
        </is>
      </c>
      <c r="B56" s="28" t="inlineStr">
        <is>
          <t>Data Integrity</t>
        </is>
      </c>
      <c r="C56" s="28" t="inlineStr">
        <is>
          <t>Silent overwrite of financial figures; locked documents protected only in the service layer</t>
        </is>
      </c>
      <c r="D56" s="33" t="inlineStr">
        <is>
          <t>Medium</t>
        </is>
      </c>
      <c r="E56" s="28" t="inlineStr">
        <is>
          <t>Migration</t>
        </is>
      </c>
      <c r="F56" s="28" t="inlineStr">
        <is>
          <t>Fixed</t>
        </is>
      </c>
      <c r="G56" s="28" t="inlineStr">
        <is>
          <t>Verified</t>
        </is>
      </c>
      <c r="H56" s="28" t="inlineStr">
        <is>
          <t>0499: protect_locked_document() freezes the money fields on invoice/costing/quotation/supplier_invoice once the status is locked, while leaving workflow fields (status, attestation, review) editable. Immutability rested entirely on service-level status checks before - a direct UPDATE on a POSTED_LOCKED invoice succeeded.</t>
        </is>
      </c>
    </row>
    <row r="57" ht="15" customHeight="1" s="25">
      <c r="A57" s="27" t="inlineStr">
        <is>
          <t>DI-7.2</t>
        </is>
      </c>
      <c r="B57" s="28" t="inlineStr">
        <is>
          <t>Data Integrity</t>
        </is>
      </c>
      <c r="C57" s="28" t="inlineStr">
        <is>
          <t>Missing indexes on columns that gate correctness-critical queries</t>
        </is>
      </c>
      <c r="D57" s="33" t="inlineStr">
        <is>
          <t>Medium</t>
        </is>
      </c>
      <c r="E57" s="28" t="inlineStr">
        <is>
          <t>Migration, online</t>
        </is>
      </c>
      <c r="F57" s="28" t="inlineStr">
        <is>
          <t>Open</t>
        </is>
      </c>
      <c r="G57" s="28" t="inlineStr">
        <is>
          <t>As reported</t>
        </is>
      </c>
      <c r="H57" s="28" t="n"/>
    </row>
    <row r="58" ht="15" customHeight="1" s="25">
      <c r="A58" s="27" t="inlineStr">
        <is>
          <t>DI-1.7</t>
        </is>
      </c>
      <c r="B58" s="28" t="inlineStr">
        <is>
          <t>Data Integrity</t>
        </is>
      </c>
      <c r="C58" s="28" t="inlineStr">
        <is>
          <t>The section 23.14 dictionary invariant is one-directional</t>
        </is>
      </c>
      <c r="D58" s="34" t="inlineStr">
        <is>
          <t>Low</t>
        </is>
      </c>
      <c r="E58" s="28" t="inlineStr">
        <is>
          <t>Migration</t>
        </is>
      </c>
      <c r="F58" s="28" t="inlineStr">
        <is>
          <t>Open</t>
        </is>
      </c>
      <c r="G58" s="28" t="inlineStr">
        <is>
          <t>As reported</t>
        </is>
      </c>
      <c r="H58" s="28" t="n"/>
    </row>
    <row r="59" ht="15" customHeight="1" s="25">
      <c r="A59" s="27" t="inlineStr">
        <is>
          <t>OBS-A2</t>
        </is>
      </c>
      <c r="B59" s="28" t="inlineStr">
        <is>
          <t>Observability</t>
        </is>
      </c>
      <c r="C59" s="28" t="inlineStr">
        <is>
          <t>The health check is structurally incapable of failing - and it is the deploy gate</t>
        </is>
      </c>
      <c r="D59" s="29" t="inlineStr">
        <is>
          <t>Critical</t>
        </is>
      </c>
      <c r="E59" s="28" t="inlineStr">
        <is>
          <t>Quick win</t>
        </is>
      </c>
      <c r="F59" s="30" t="inlineStr">
        <is>
          <t>Fixed</t>
        </is>
      </c>
      <c r="G59" s="31" t="inlineStr">
        <is>
          <t>Verified in code</t>
        </is>
      </c>
      <c r="H59" s="28" t="inlineStr">
        <is>
          <t>/api/health/ready probes Postgres+Redis, 503s honestly. Verified with the DB down.</t>
        </is>
      </c>
    </row>
    <row r="60" ht="15" customHeight="1" s="25">
      <c r="A60" s="27" t="inlineStr">
        <is>
          <t>OBS-A1</t>
        </is>
      </c>
      <c r="B60" s="28" t="inlineStr">
        <is>
          <t>Observability</t>
        </is>
      </c>
      <c r="C60" s="28" t="inlineStr">
        <is>
          <t>There is no alerting. At all.</t>
        </is>
      </c>
      <c r="D60" s="29" t="inlineStr">
        <is>
          <t>Critical</t>
        </is>
      </c>
      <c r="E60" s="28" t="inlineStr">
        <is>
          <t>Quick win</t>
        </is>
      </c>
      <c r="F60" s="30" t="inlineStr">
        <is>
          <t>Fixed</t>
        </is>
      </c>
      <c r="G60" s="31" t="inlineStr">
        <is>
          <t>Verified in code</t>
        </is>
      </c>
      <c r="H60" s="28" t="inlineStr">
        <is>
          <t>Repo side wired + loud boot warning. MONITOR AND WEBHOOK CONFIGURED BY OWNER 2026-08-04.</t>
        </is>
      </c>
    </row>
    <row r="61" ht="15" customHeight="1" s="25">
      <c r="A61" s="27" t="inlineStr">
        <is>
          <t>OBS-A3</t>
        </is>
      </c>
      <c r="B61" s="28" t="inlineStr">
        <is>
          <t>Observability</t>
        </is>
      </c>
      <c r="C61" s="28" t="inlineStr">
        <is>
          <t>Redis outage boots the app silently degraded</t>
        </is>
      </c>
      <c r="D61" s="29" t="inlineStr">
        <is>
          <t>Critical</t>
        </is>
      </c>
      <c r="E61" s="28" t="inlineStr">
        <is>
          <t>Quick win</t>
        </is>
      </c>
      <c r="F61" s="30" t="inlineStr">
        <is>
          <t>Fixed</t>
        </is>
      </c>
      <c r="G61" s="31" t="inlineStr">
        <is>
          <t>Verified in code</t>
        </is>
      </c>
      <c r="H61" s="28" t="inlineStr">
        <is>
          <t>Redis boot failure is now ERROR + a fatal report naming exactly what degrades (sessions, rate limiting, identity cache, socket.io pub-sub, ALL job enqueueing), and readiness reports it. Still non-fatal — refusing to boot would turn a degraded cache into a total outage.</t>
        </is>
      </c>
    </row>
    <row r="62" ht="15" customHeight="1" s="25">
      <c r="A62" s="27" t="inlineStr">
        <is>
          <t>OBS-A6</t>
        </is>
      </c>
      <c r="B62" s="28" t="inlineStr">
        <is>
          <t>Observability</t>
        </is>
      </c>
      <c r="C62" s="28" t="inlineStr">
        <is>
          <t>Dead-lettered business events are a silent black hole</t>
        </is>
      </c>
      <c r="D62" s="29" t="inlineStr">
        <is>
          <t>Critical</t>
        </is>
      </c>
      <c r="E62" s="28" t="inlineStr">
        <is>
          <t>Medium</t>
        </is>
      </c>
      <c r="F62" s="30" t="inlineStr">
        <is>
          <t>Fixed</t>
        </is>
      </c>
      <c r="G62" s="31" t="inlineStr">
        <is>
          <t>Verified in code</t>
        </is>
      </c>
      <c r="H62" s="28" t="inlineStr">
        <is>
          <t>DEAD is now distinguishable from FAILED (error + report vs warn), countDeadLetters() is the query that never existed, the worker sweep runs a census every pass and notifies on a new death then daily while a backlog stands, and /api/health/ready exposes dead_letters per tenant (degraded, not 503 — dropped events are a business failure, not a deploy blocker). 17 assertions incl. 'a retriable failure must NOT notify' and 'a census failure must not fail the drain'.</t>
        </is>
      </c>
    </row>
    <row r="63" ht="15" customHeight="1" s="25">
      <c r="A63" s="27" t="inlineStr">
        <is>
          <t>OBS-E1</t>
        </is>
      </c>
      <c r="B63" s="28" t="inlineStr">
        <is>
          <t>Observability</t>
        </is>
      </c>
      <c r="C63" s="28" t="inlineStr">
        <is>
          <t>No centralised error tracking of any kind</t>
        </is>
      </c>
      <c r="D63" s="29" t="inlineStr">
        <is>
          <t>Critical</t>
        </is>
      </c>
      <c r="E63" s="28" t="inlineStr">
        <is>
          <t>Medium</t>
        </is>
      </c>
      <c r="F63" s="30" t="inlineStr">
        <is>
          <t>Fixed</t>
        </is>
      </c>
      <c r="G63" s="31" t="inlineStr">
        <is>
          <t>Verified in code</t>
        </is>
      </c>
      <c r="H63" s="28" t="inlineStr">
        <is>
          <t>shared/observability/error-reporter.js — every 5xx, uncaughtException and unhandledRejection reports with tenant/user/request_id/route/build. Dedupe + id normalisation + frame-drift stability + 20/min ceiling so the channel stays usable. 4xx and ZodError never reported. Commit e78a566.</t>
        </is>
      </c>
    </row>
    <row r="64" ht="15" customHeight="1" s="25">
      <c r="A64" s="27" t="inlineStr">
        <is>
          <t>OBS-E2</t>
        </is>
      </c>
      <c r="B64" s="28" t="inlineStr">
        <is>
          <t>Observability</t>
        </is>
      </c>
      <c r="C64" s="28" t="inlineStr">
        <is>
          <t>Frontend errors are completely invisible</t>
        </is>
      </c>
      <c r="D64" s="29" t="inlineStr">
        <is>
          <t>Critical</t>
        </is>
      </c>
      <c r="E64" s="28" t="inlineStr">
        <is>
          <t>Quick win</t>
        </is>
      </c>
      <c r="F64" s="30" t="inlineStr">
        <is>
          <t>Fixed</t>
        </is>
      </c>
      <c r="G64" s="31" t="inlineStr">
        <is>
          <t>Verified in code</t>
        </is>
      </c>
      <c r="H64" s="28" t="inlineStr">
        <is>
          <t>POST /api/client-errors + client/src/lib/error-reporting.ts covering render, window 'error' and unhandledrejection. ErrorBoundary's dead onError hook now reports by default. sendBeacon survives the post-crash reload. Commit e78a566.</t>
        </is>
      </c>
    </row>
    <row r="65" ht="15" customHeight="1" s="25">
      <c r="A65" s="27" t="inlineStr">
        <is>
          <t>OBS-L1</t>
        </is>
      </c>
      <c r="B65" s="28" t="inlineStr">
        <is>
          <t>Observability</t>
        </is>
      </c>
      <c r="C65" s="28" t="inlineStr">
        <is>
          <t>No HTTP access log exists at all - pino-http is a dependency, mounted nowhere</t>
        </is>
      </c>
      <c r="D65" s="29" t="inlineStr">
        <is>
          <t>Critical</t>
        </is>
      </c>
      <c r="E65" s="28" t="inlineStr">
        <is>
          <t>Quick win</t>
        </is>
      </c>
      <c r="F65" s="30" t="inlineStr">
        <is>
          <t>Fixed</t>
        </is>
      </c>
      <c r="G65" s="31" t="inlineStr">
        <is>
          <t>Verified in code</t>
        </is>
      </c>
      <c r="H65" s="28" t="inlineStr">
        <is>
          <t>pino-http mounted.</t>
        </is>
      </c>
    </row>
    <row r="66" ht="15" customHeight="1" s="25">
      <c r="A66" s="27" t="inlineStr">
        <is>
          <t>OBS-L2</t>
        </is>
      </c>
      <c r="B66" s="28" t="inlineStr">
        <is>
          <t>Observability</t>
        </is>
      </c>
      <c r="C66" s="28" t="inlineStr">
        <is>
          <t>The money path is entirely log-silent - zero logger calls in finance or accounting</t>
        </is>
      </c>
      <c r="D66" s="29" t="inlineStr">
        <is>
          <t>Critical</t>
        </is>
      </c>
      <c r="E66" s="28" t="inlineStr">
        <is>
          <t>Medium</t>
        </is>
      </c>
      <c r="F66" s="28" t="inlineStr">
        <is>
          <t>Fixed</t>
        </is>
      </c>
      <c r="G66" s="28" t="inlineStr">
        <is>
          <t>Verified</t>
        </is>
      </c>
      <c r="H66" s="28" t="inlineStr">
        <is>
          <t>New shared/observability/money-log.js (moneyOk/moneyFail/withMoneyLog): one uniform event shape so 'every failed posting for this tenant today' is a filter, not a grep. Wired at journal_entry.post and .reverse (the funnel every posting goes through - determination.postDocument, invoices, receipts, credit notes, depreciation) plus the five document boundaries: invoice.posted, credit_note.posted, receipt.posted, tax_declaration.approved, period.closed. Failures log at error with err_code. Proven: lines carry tenant, user_id, request_id from the existing pino mixin, money_event, outcome, and normalised numeric amounts; the error is rethrown unchanged. Amounts and ids only - no client names or emails (OBS-L4 is a live finding about exactly that).</t>
        </is>
      </c>
    </row>
    <row r="67" ht="15" customHeight="1" s="25">
      <c r="A67" s="27" t="inlineStr">
        <is>
          <t>OBS-L3</t>
        </is>
      </c>
      <c r="B67" s="28" t="inlineStr">
        <is>
          <t>Observability</t>
        </is>
      </c>
      <c r="C67" s="28" t="inlineStr">
        <is>
          <t>Almost no log line carries tenant or user, though AsyncLocalStorage already holds both</t>
        </is>
      </c>
      <c r="D67" s="29" t="inlineStr">
        <is>
          <t>Critical</t>
        </is>
      </c>
      <c r="E67" s="28" t="inlineStr">
        <is>
          <t>Quick win</t>
        </is>
      </c>
      <c r="F67" s="30" t="inlineStr">
        <is>
          <t>Fixed</t>
        </is>
      </c>
      <c r="G67" s="31" t="inlineStr">
        <is>
          <t>Verified in code</t>
        </is>
      </c>
      <c r="H67" s="28" t="inlineStr">
        <is>
          <t>pino mixin injects tenant+user into ALL ~120 call sites with zero edits; auth.js back-fills the user the context captured as null.</t>
        </is>
      </c>
    </row>
    <row r="68" ht="15" customHeight="1" s="25">
      <c r="A68" s="27" t="inlineStr">
        <is>
          <t>OBS-M1</t>
        </is>
      </c>
      <c r="B68" s="28" t="inlineStr">
        <is>
          <t>Observability</t>
        </is>
      </c>
      <c r="C68" s="28" t="inlineStr">
        <is>
          <t>No metrics of any kind, no dashboard, no baseline</t>
        </is>
      </c>
      <c r="D68" s="29" t="inlineStr">
        <is>
          <t>Critical</t>
        </is>
      </c>
      <c r="E68" s="28" t="inlineStr">
        <is>
          <t>Medium</t>
        </is>
      </c>
      <c r="F68" s="30" t="inlineStr">
        <is>
          <t>Fixed</t>
        </is>
      </c>
      <c r="G68" s="31" t="inlineStr">
        <is>
          <t>Verified in code</t>
        </is>
      </c>
      <c r="H68" s="28" t="inlineStr">
        <is>
          <t>shared/observability/metrics.js + GET /api/metrics (Prometheus text). HTTP/db/job/auth/rbac counters and duration histograms. Hand-rolled, no new dependency; routes templated so uuids cannot explode cardinality. METRICS_TOKEN guards it when set.</t>
        </is>
      </c>
    </row>
    <row r="69" ht="15" customHeight="1" s="25">
      <c r="A69" s="27" t="inlineStr">
        <is>
          <t>OBS-T1</t>
        </is>
      </c>
      <c r="B69" s="28" t="inlineStr">
        <is>
          <t>Observability</t>
        </is>
      </c>
      <c r="C69" s="28" t="inlineStr">
        <is>
          <t>Reconstructing one failed request is effectively impossible</t>
        </is>
      </c>
      <c r="D69" s="29" t="inlineStr">
        <is>
          <t>Critical</t>
        </is>
      </c>
      <c r="E69" s="28" t="inlineStr">
        <is>
          <t>Phases 2+4</t>
        </is>
      </c>
      <c r="F69" s="28" t="inlineStr">
        <is>
          <t>Fixed</t>
        </is>
      </c>
      <c r="G69" s="28" t="inlineStr">
        <is>
          <t>Verified</t>
        </is>
      </c>
      <c r="H69" s="28" t="inlineStr">
        <is>
          <t>Step 4 closed by OBS-L2 above. Step 5 closed by migration 0501: request_id on immutable_ledger and event_log, written by shared/events/emit.js from the AsyncLocalStorage context rather than threaded through 300 call sites. Partial indexes (WHERE request_id IS NOT NULL) because the NULLs - every background row, forever - are never the target of the lookup. Nullable with no backfill: a row written by a job or a migration has no request, and inventing one would make the column lie. All six investigation steps in the audit's walkthrough now have an answer.</t>
        </is>
      </c>
    </row>
    <row r="70" ht="15" customHeight="1" s="25">
      <c r="A70" s="27" t="inlineStr">
        <is>
          <t>OBS-I1</t>
        </is>
      </c>
      <c r="B70" s="28" t="inlineStr">
        <is>
          <t>Observability</t>
        </is>
      </c>
      <c r="C70" s="28" t="inlineStr">
        <is>
          <t>No runbook, no on-call, no incident process</t>
        </is>
      </c>
      <c r="D70" s="29" t="inlineStr">
        <is>
          <t>Critical</t>
        </is>
      </c>
      <c r="E70" s="28" t="inlineStr">
        <is>
          <t>Process</t>
        </is>
      </c>
      <c r="F70" s="28" t="inlineStr">
        <is>
          <t>Fixed</t>
        </is>
      </c>
      <c r="G70" s="28" t="inlineStr">
        <is>
          <t>Verified</t>
        </is>
      </c>
      <c r="H70" s="28" t="inlineStr">
        <is>
          <t>New doc/INCIDENT_RUNBOOK.md. Severity table with the rule that anything touching the ledger is SEV-1 until proven otherwise (posted entries are immutable, so a wrong one has to be reversed, and every hour it stands is another hour of reports built on it); escalation with explicit timeouts; a four-question triage that maps onto what the observability work actually made answerable (health/ready fields, tenant on every log line, request_id joining a ledger row back to its request, money_event); and six playbooks — bad deploy, database unreachable, one tenant down, dropped events, wrong books, suspected compromise. Every command and endpoint was verified against the code, which caught four wrong ones in my own draft: rollback.sh takes a positional sha not --to, migrate-tenants has no --dry-run, and the session revoke route is /:id/kill not /:id/revoke. The 'who' table is deliberately left TBD for the owner — an unfilled table is the same failure the document exists to fix, and inventing names would be worse.</t>
        </is>
      </c>
    </row>
    <row r="71" ht="15" customHeight="1" s="25">
      <c r="A71" s="27" t="inlineStr">
        <is>
          <t>OBS-I2</t>
        </is>
      </c>
      <c r="B71" s="28" t="inlineStr">
        <is>
          <t>Observability</t>
        </is>
      </c>
      <c r="C71" s="28" t="inlineStr">
        <is>
          <t>No rollback procedure and no artifact to roll back to</t>
        </is>
      </c>
      <c r="D71" s="29" t="inlineStr">
        <is>
          <t>Critical</t>
        </is>
      </c>
      <c r="E71" s="28" t="inlineStr">
        <is>
          <t>Medium</t>
        </is>
      </c>
      <c r="F71" s="30" t="inlineStr">
        <is>
          <t>Fixed</t>
        </is>
      </c>
      <c r="G71" s="31" t="inlineStr">
        <is>
          <t>Verified in code</t>
        </is>
      </c>
      <c r="H71" s="28" t="inlineStr">
        <is>
          <t>Images tagged by commit and retained; scripts/rollback.sh added.</t>
        </is>
      </c>
    </row>
    <row r="72" ht="15" customHeight="1" s="25">
      <c r="A72" s="27" t="inlineStr">
        <is>
          <t>OBS-A4</t>
        </is>
      </c>
      <c r="B72" s="28" t="inlineStr">
        <is>
          <t>Observability</t>
        </is>
      </c>
      <c r="C72" s="28" t="inlineStr">
        <is>
          <t>No restart: policy on any service</t>
        </is>
      </c>
      <c r="D72" s="32" t="inlineStr">
        <is>
          <t>High</t>
        </is>
      </c>
      <c r="E72" s="28" t="inlineStr">
        <is>
          <t>Quick win</t>
        </is>
      </c>
      <c r="F72" s="30" t="inlineStr">
        <is>
          <t>Fixed</t>
        </is>
      </c>
      <c r="G72" s="31" t="inlineStr">
        <is>
          <t>Verified in code</t>
        </is>
      </c>
      <c r="H72" s="28" t="inlineStr">
        <is>
          <t>restart: unless-stopped on all five services; migrate stays 'no'.</t>
        </is>
      </c>
    </row>
    <row r="73" ht="15" customHeight="1" s="25">
      <c r="A73" s="27" t="inlineStr">
        <is>
          <t>OBS-A5</t>
        </is>
      </c>
      <c r="B73" s="28" t="inlineStr">
        <is>
          <t>Observability</t>
        </is>
      </c>
      <c r="C73" s="28" t="inlineStr">
        <is>
          <t>The worker is entirely unmonitored</t>
        </is>
      </c>
      <c r="D73" s="32" t="inlineStr">
        <is>
          <t>High</t>
        </is>
      </c>
      <c r="E73" s="28" t="inlineStr">
        <is>
          <t>Quick win</t>
        </is>
      </c>
      <c r="F73" s="30" t="inlineStr">
        <is>
          <t>Fixed</t>
        </is>
      </c>
      <c r="G73" s="31" t="inlineStr">
        <is>
          <t>Verified in code</t>
        </is>
      </c>
      <c r="H73" s="28" t="inlineStr">
        <is>
          <t>Worker job start/done now timed, per-queue duration histogram, completed/failed counters and worker-error counter. Liveness is a fact rather than an assumption.</t>
        </is>
      </c>
    </row>
    <row r="74" ht="15" customHeight="1" s="25">
      <c r="A74" s="27" t="inlineStr">
        <is>
          <t>OBS-E3</t>
        </is>
      </c>
      <c r="B74" s="28" t="inlineStr">
        <is>
          <t>Observability</t>
        </is>
      </c>
      <c r="C74" s="28" t="inlineStr">
        <is>
          <t>The correlation ID is minted, then thrown away; persisted nowhere</t>
        </is>
      </c>
      <c r="D74" s="32" t="inlineStr">
        <is>
          <t>High</t>
        </is>
      </c>
      <c r="E74" s="28" t="inlineStr">
        <is>
          <t>Quick / Medium</t>
        </is>
      </c>
      <c r="F74" s="30" t="inlineStr">
        <is>
          <t>Fixed</t>
        </is>
      </c>
      <c r="G74" s="31" t="inlineStr">
        <is>
          <t>Verified in code</t>
        </is>
      </c>
      <c r="H74" s="28" t="inlineStr">
        <is>
          <t>request_id is put into AsyncLocalStorage by tenant-context, emitted on every log line by the mixin, and stamped onto enqueued job payloads. Minted-then-discarded is fixed end to end.</t>
        </is>
      </c>
    </row>
    <row r="75" ht="15" customHeight="1" s="25">
      <c r="A75" s="27" t="inlineStr">
        <is>
          <t>OBS-E4</t>
        </is>
      </c>
      <c r="B75" s="28" t="inlineStr">
        <is>
          <t>Observability</t>
        </is>
      </c>
      <c r="C75" s="28" t="inlineStr">
        <is>
          <t>uncaughtException keeps a poisoned process alive</t>
        </is>
      </c>
      <c r="D75" s="32" t="inlineStr">
        <is>
          <t>High</t>
        </is>
      </c>
      <c r="E75" s="28" t="inlineStr">
        <is>
          <t>Quick win</t>
        </is>
      </c>
      <c r="F75" s="30" t="inlineStr">
        <is>
          <t>Fixed</t>
        </is>
      </c>
      <c r="G75" s="31" t="inlineStr">
        <is>
          <t>Verified in code</t>
        </is>
      </c>
      <c r="H75" s="28" t="inlineStr">
        <is>
          <t>Process now exits on uncaughtException; paired with OBS-A4.</t>
        </is>
      </c>
    </row>
    <row r="76" ht="15" customHeight="1" s="25">
      <c r="A76" s="27" t="inlineStr">
        <is>
          <t>OBS-L4</t>
        </is>
      </c>
      <c r="B76" s="28" t="inlineStr">
        <is>
          <t>Observability</t>
        </is>
      </c>
      <c r="C76" s="28" t="inlineStr">
        <is>
          <t>Sensitive data leaking into logs, including row values via pg err.detail</t>
        </is>
      </c>
      <c r="D76" s="32" t="inlineStr">
        <is>
          <t>High</t>
        </is>
      </c>
      <c r="E76" s="28" t="inlineStr">
        <is>
          <t>Quick win</t>
        </is>
      </c>
      <c r="F76" s="30" t="inlineStr">
        <is>
          <t>Fixed</t>
        </is>
      </c>
      <c r="G76" s="31" t="inlineStr">
        <is>
          <t>Verified in code</t>
        </is>
      </c>
      <c r="H76" s="28" t="inlineStr">
        <is>
          <t>Same fix as SEC-L4, incl. pg err.detail. Landed BEFORE any log shipping.</t>
        </is>
      </c>
    </row>
    <row r="77" ht="15" customHeight="1" s="25">
      <c r="A77" s="27" t="inlineStr">
        <is>
          <t>OBS-L7</t>
        </is>
      </c>
      <c r="B77" s="28" t="inlineStr">
        <is>
          <t>Observability</t>
        </is>
      </c>
      <c r="C77" s="28" t="inlineStr">
        <is>
          <t>Logs are neither durable nor shipped; lost on every deploy</t>
        </is>
      </c>
      <c r="D77" s="32" t="inlineStr">
        <is>
          <t>High</t>
        </is>
      </c>
      <c r="E77" s="28" t="inlineStr">
        <is>
          <t>Quick / Medium</t>
        </is>
      </c>
      <c r="F77" s="30" t="inlineStr">
        <is>
          <t>Fixed</t>
        </is>
      </c>
      <c r="G77" s="31" t="inlineStr">
        <is>
          <t>Verified in code</t>
        </is>
      </c>
      <c r="H77" s="28" t="inlineStr">
        <is>
          <t>Rotation half: json-file capped at 50m x5 on all five services — unbounded growth on an unmonitored disk was a plausible CAUSE of an outage. Shipping off-box remains open.</t>
        </is>
      </c>
    </row>
    <row r="78" ht="15" customHeight="1" s="25">
      <c r="A78" s="27" t="inlineStr">
        <is>
          <t>OBS-M2</t>
        </is>
      </c>
      <c r="B78" s="28" t="inlineStr">
        <is>
          <t>Observability</t>
        </is>
      </c>
      <c r="C78" s="28" t="inlineStr">
        <is>
          <t>Business metrics unobservable though the data already exists</t>
        </is>
      </c>
      <c r="D78" s="32" t="inlineStr">
        <is>
          <t>High</t>
        </is>
      </c>
      <c r="E78" s="28" t="inlineStr">
        <is>
          <t>Medium</t>
        </is>
      </c>
      <c r="F78" s="28" t="inlineStr">
        <is>
          <t>Open</t>
        </is>
      </c>
      <c r="G78" s="28" t="inlineStr">
        <is>
          <t>As reported</t>
        </is>
      </c>
      <c r="H78" s="28" t="n"/>
    </row>
    <row r="79" ht="15" customHeight="1" s="25">
      <c r="A79" s="27" t="inlineStr">
        <is>
          <t>OBS-T2</t>
        </is>
      </c>
      <c r="B79" s="28" t="inlineStr">
        <is>
          <t>Observability</t>
        </is>
      </c>
      <c r="C79" s="28" t="inlineStr">
        <is>
          <t>No timing recorded anywhere</t>
        </is>
      </c>
      <c r="D79" s="32" t="inlineStr">
        <is>
          <t>High</t>
        </is>
      </c>
      <c r="E79" s="28" t="inlineStr">
        <is>
          <t>Quick win</t>
        </is>
      </c>
      <c r="F79" s="30" t="inlineStr">
        <is>
          <t>Fixed</t>
        </is>
      </c>
      <c r="G79" s="31" t="inlineStr">
        <is>
          <t>Verified in code</t>
        </is>
      </c>
      <c r="H79" s="28" t="inlineStr">
        <is>
          <t>HTTP duration histogram in the access-log middleware; job duration measured in workers.js (start/done were logged with elapsed never computed); db query duration on both query paths.</t>
        </is>
      </c>
    </row>
    <row r="80" ht="15" customHeight="1" s="25">
      <c r="A80" s="27" t="inlineStr">
        <is>
          <t>OBS-T4</t>
        </is>
      </c>
      <c r="B80" s="28" t="inlineStr">
        <is>
          <t>Observability</t>
        </is>
      </c>
      <c r="C80" s="28" t="inlineStr">
        <is>
          <t>Auth, RBAC and tenant middleware log nothing</t>
        </is>
      </c>
      <c r="D80" s="32" t="inlineStr">
        <is>
          <t>High</t>
        </is>
      </c>
      <c r="E80" s="28" t="inlineStr">
        <is>
          <t>Quick win</t>
        </is>
      </c>
      <c r="F80" s="30" t="inlineStr">
        <is>
          <t>Fixed</t>
        </is>
      </c>
      <c r="G80" s="31" t="inlineStr">
        <is>
          <t>Verified in code</t>
        </is>
      </c>
      <c r="H80" s="28" t="inlineStr">
        <is>
          <t>auth.js and rbac.js had ZERO logger calls. Failed authentication and permission denial are now logged and counted (praxis_auth_failures_total, praxis_rbac_denials_total) — a debugging gap and a credential-stuffing detection gap.</t>
        </is>
      </c>
    </row>
    <row r="81" ht="15" customHeight="1" s="25">
      <c r="A81" s="27" t="inlineStr">
        <is>
          <t>OBS-I3</t>
        </is>
      </c>
      <c r="B81" s="28" t="inlineStr">
        <is>
          <t>Observability</t>
        </is>
      </c>
      <c r="C81" s="28" t="inlineStr">
        <is>
          <t>Migrations have no rollback path and run before the app rolls; no automated backup</t>
        </is>
      </c>
      <c r="D81" s="32" t="inlineStr">
        <is>
          <t>High</t>
        </is>
      </c>
      <c r="E81" s="28" t="inlineStr">
        <is>
          <t>Medium</t>
        </is>
      </c>
      <c r="F81" s="28" t="inlineStr">
        <is>
          <t>Open</t>
        </is>
      </c>
      <c r="G81" s="28" t="inlineStr">
        <is>
          <t>As reported</t>
        </is>
      </c>
      <c r="H81" s="28" t="n"/>
    </row>
    <row r="82" ht="15" customHeight="1" s="25">
      <c r="A82" s="27" t="inlineStr">
        <is>
          <t>OBS-I4</t>
        </is>
      </c>
      <c r="B82" s="28" t="inlineStr">
        <is>
          <t>Observability</t>
        </is>
      </c>
      <c r="C82" s="28" t="inlineStr">
        <is>
          <t>The deploy has no real smoke test and no auto-rollback</t>
        </is>
      </c>
      <c r="D82" s="32" t="inlineStr">
        <is>
          <t>High</t>
        </is>
      </c>
      <c r="E82" s="28" t="inlineStr">
        <is>
          <t>Quick win</t>
        </is>
      </c>
      <c r="F82" s="35" t="inlineStr">
        <is>
          <t>Partially fixed</t>
        </is>
      </c>
      <c r="G82" s="28" t="inlineStr">
        <is>
          <t>As reported</t>
        </is>
      </c>
      <c r="H82" s="28" t="inlineStr">
        <is>
          <t>Smoke test can now fail and the deploy exits non-zero. Auto-rollback NOT wired — rollback.sh has never been executed, and automating an unproven recovery path is worse than manual.</t>
        </is>
      </c>
    </row>
    <row r="83" ht="15" customHeight="1" s="25">
      <c r="A83" s="27" t="inlineStr">
        <is>
          <t>OBS-I6</t>
        </is>
      </c>
      <c r="B83" s="28" t="inlineStr">
        <is>
          <t>Observability</t>
        </is>
      </c>
      <c r="C83" s="28" t="inlineStr">
        <is>
          <t>Single-host topology with no capacity signal</t>
        </is>
      </c>
      <c r="D83" s="32" t="inlineStr">
        <is>
          <t>High</t>
        </is>
      </c>
      <c r="E83" s="28" t="inlineStr">
        <is>
          <t>Deeper</t>
        </is>
      </c>
      <c r="F83" s="28" t="inlineStr">
        <is>
          <t>Open</t>
        </is>
      </c>
      <c r="G83" s="28" t="inlineStr">
        <is>
          <t>As reported</t>
        </is>
      </c>
      <c r="H83" s="28" t="n"/>
    </row>
    <row r="84" ht="15" customHeight="1" s="25">
      <c r="A84" s="27" t="inlineStr">
        <is>
          <t>OBS-A7</t>
        </is>
      </c>
      <c r="B84" s="28" t="inlineStr">
        <is>
          <t>Observability</t>
        </is>
      </c>
      <c r="C84" s="28" t="inlineStr">
        <is>
          <t>Failed BullMQ jobs accumulate unwatched</t>
        </is>
      </c>
      <c r="D84" s="33" t="inlineStr">
        <is>
          <t>Medium</t>
        </is>
      </c>
      <c r="E84" s="28" t="inlineStr">
        <is>
          <t>Medium</t>
        </is>
      </c>
      <c r="F84" s="30" t="inlineStr">
        <is>
          <t>Fixed</t>
        </is>
      </c>
      <c r="G84" s="31" t="inlineStr">
        <is>
          <t>Verified in code</t>
        </is>
      </c>
      <c r="H84" s="28" t="inlineStr">
        <is>
          <t>BullMQ `failed` fires per ATTEMPT; attempts vs exhaustion are now distinguished, counted by outcome, and only terminal failure is reported — same reasoning as OBS-A6.</t>
        </is>
      </c>
    </row>
    <row r="85" ht="15" customHeight="1" s="25">
      <c r="A85" s="27" t="inlineStr">
        <is>
          <t>OBS-L5</t>
        </is>
      </c>
      <c r="B85" s="28" t="inlineStr">
        <is>
          <t>Observability</t>
        </is>
      </c>
      <c r="C85" s="28" t="inlineStr">
        <is>
          <t>Level discipline inverted - real failures logged at warn, stacks discarded</t>
        </is>
      </c>
      <c r="D85" s="33" t="inlineStr">
        <is>
          <t>Medium</t>
        </is>
      </c>
      <c r="E85" s="28" t="inlineStr">
        <is>
          <t>Quick win</t>
        </is>
      </c>
      <c r="F85" s="28" t="inlineStr">
        <is>
          <t>Open</t>
        </is>
      </c>
      <c r="G85" s="28" t="inlineStr">
        <is>
          <t>As reported</t>
        </is>
      </c>
      <c r="H85" s="28" t="n"/>
    </row>
    <row r="86" ht="15" customHeight="1" s="25">
      <c r="A86" s="27" t="inlineStr">
        <is>
          <t>OBS-L6</t>
        </is>
      </c>
      <c r="B86" s="28" t="inlineStr">
        <is>
          <t>Observability</t>
        </is>
      </c>
      <c r="C86" s="28" t="inlineStr">
        <is>
          <t>The runbook documents a log location that does not exist</t>
        </is>
      </c>
      <c r="D86" s="33" t="inlineStr">
        <is>
          <t>Medium</t>
        </is>
      </c>
      <c r="E86" s="28" t="inlineStr">
        <is>
          <t>Quick win</t>
        </is>
      </c>
      <c r="F86" s="30" t="inlineStr">
        <is>
          <t>Fixed</t>
        </is>
      </c>
      <c r="G86" s="31" t="inlineStr">
        <is>
          <t>Verified in code</t>
        </is>
      </c>
      <c r="H86" s="28" t="inlineStr">
        <is>
          <t>DEPLOYMENT.md claimed logs land in ./logs. Nothing ever wrote there. Corrected to stdout + the json-file driver, with the rotation caps now set.</t>
        </is>
      </c>
    </row>
    <row r="87" ht="15" customHeight="1" s="25">
      <c r="A87" s="27" t="inlineStr">
        <is>
          <t>OBS-M3</t>
        </is>
      </c>
      <c r="B87" s="28" t="inlineStr">
        <is>
          <t>Observability</t>
        </is>
      </c>
      <c r="C87" s="28" t="inlineStr">
        <is>
          <t>Slow queries warn but are never measured</t>
        </is>
      </c>
      <c r="D87" s="33" t="inlineStr">
        <is>
          <t>Medium</t>
        </is>
      </c>
      <c r="E87" s="28" t="inlineStr">
        <is>
          <t>Quick win</t>
        </is>
      </c>
      <c r="F87" s="30" t="inlineStr">
        <is>
          <t>Fixed</t>
        </is>
      </c>
      <c r="G87" s="31" t="inlineStr">
        <is>
          <t>Verified in code</t>
        </is>
      </c>
      <c r="H87" s="28" t="inlineStr">
        <is>
          <t>Every query is timed into a histogram, not just those over a hardcoded 500ms; threshold is SLOW_QUERY_MS and slow queries are counted.</t>
        </is>
      </c>
    </row>
    <row r="88" ht="15" customHeight="1" s="25">
      <c r="A88" s="27" t="inlineStr">
        <is>
          <t>OBS-T3</t>
        </is>
      </c>
      <c r="B88" s="28" t="inlineStr">
        <is>
          <t>Observability</t>
        </is>
      </c>
      <c r="C88" s="28" t="inlineStr">
        <is>
          <t>No cross-process correlation into workers</t>
        </is>
      </c>
      <c r="D88" s="33" t="inlineStr">
        <is>
          <t>Medium</t>
        </is>
      </c>
      <c r="E88" s="28" t="inlineStr">
        <is>
          <t>Medium</t>
        </is>
      </c>
      <c r="F88" s="30" t="inlineStr">
        <is>
          <t>Fixed</t>
        </is>
      </c>
      <c r="G88" s="31" t="inlineStr">
        <is>
          <t>Verified in code</t>
        </is>
      </c>
      <c r="H88" s="28" t="inlineStr">
        <is>
          <t>queue-producer stamps {tenant,user_id,request_id} onto every job; workers.js restores it into AsyncLocalStorage, so a failed job's log lines carry the request that enqueued it.</t>
        </is>
      </c>
    </row>
    <row r="89" ht="15" customHeight="1" s="25">
      <c r="A89" s="27" t="inlineStr">
        <is>
          <t>OBS-I5</t>
        </is>
      </c>
      <c r="B89" s="28" t="inlineStr">
        <is>
          <t>Observability</t>
        </is>
      </c>
      <c r="C89" s="28" t="inlineStr">
        <is>
          <t>Deploys are unattributed and unannounced</t>
        </is>
      </c>
      <c r="D89" s="33" t="inlineStr">
        <is>
          <t>Medium</t>
        </is>
      </c>
      <c r="E89" s="28" t="inlineStr">
        <is>
          <t>Quick win</t>
        </is>
      </c>
      <c r="F89" s="30" t="inlineStr">
        <is>
          <t>Fixed</t>
        </is>
      </c>
      <c r="G89" s="31" t="inlineStr">
        <is>
          <t>Verified in code</t>
        </is>
      </c>
      <c r="H89" s="28" t="inlineStr">
        <is>
          <t>Build identity + deploy announcements to ALERT_WEBHOOK_URL on start/success/failure.</t>
        </is>
      </c>
    </row>
    <row r="90" ht="23.25" customHeight="1" s="25">
      <c r="A90" s="27" t="inlineStr">
        <is>
          <t>API-F1</t>
        </is>
      </c>
      <c r="B90" s="28" t="inlineStr">
        <is>
          <t>API Contract</t>
        </is>
      </c>
      <c r="C90" s="28" t="inlineStr">
        <is>
          <t>Eighteen deliberate client errors are returned to consumers as 500 INTERNAL_ERROR</t>
        </is>
      </c>
      <c r="D90" s="29" t="inlineStr">
        <is>
          <t>Critical</t>
        </is>
      </c>
      <c r="E90" s="28" t="inlineStr">
        <is>
          <t>Code (BC)</t>
        </is>
      </c>
      <c r="F90" s="30" t="inlineStr">
        <is>
          <t>Fixed</t>
        </is>
      </c>
      <c r="G90" s="31" t="inlineStr">
        <is>
          <t>Verified in code</t>
        </is>
      </c>
      <c r="H90" s="28" t="inlineStr">
        <is>
          <t>error-handler honours err.status for 4xx; thrown 5xx still flattens to a generic 500. Fixed BEFORE alerting went live.</t>
        </is>
      </c>
    </row>
    <row r="91" ht="23.25" customHeight="1" s="25">
      <c r="A91" s="27" t="inlineStr">
        <is>
          <t>API-F6</t>
        </is>
      </c>
      <c r="B91" s="28" t="inlineStr">
        <is>
          <t>API Contract</t>
        </is>
      </c>
      <c r="C91" s="28" t="inlineStr">
        <is>
          <t>Two unrelated resources share the base path /inbound</t>
        </is>
      </c>
      <c r="D91" s="29" t="inlineStr">
        <is>
          <t>Critical</t>
        </is>
      </c>
      <c r="E91" s="28" t="inlineStr">
        <is>
          <t>Code (BC)</t>
        </is>
      </c>
      <c r="F91" s="30" t="inlineStr">
        <is>
          <t>Fixed</t>
        </is>
      </c>
      <c r="G91" s="31" t="inlineStr">
        <is>
          <t>Verified in code</t>
        </is>
      </c>
      <c r="H91" s="28" t="inlineStr">
        <is>
          <t>sales/inbound_intake moved to /intake; 4 client callers updated; waiver list now empty and the boot guard is unconditional. BREAKING.</t>
        </is>
      </c>
    </row>
    <row r="92" ht="15" customHeight="1" s="25">
      <c r="A92" s="27" t="inlineStr">
        <is>
          <t>API-F18</t>
        </is>
      </c>
      <c r="B92" s="28" t="inlineStr">
        <is>
          <t>API Contract</t>
        </is>
      </c>
      <c r="C92" s="28" t="inlineStr">
        <is>
          <t>There is no versioning of any kind - no prefix, header, sunset or deprecation mechanism</t>
        </is>
      </c>
      <c r="D92" s="29" t="inlineStr">
        <is>
          <t>Critical</t>
        </is>
      </c>
      <c r="E92" s="28" t="inlineStr">
        <is>
          <t>Structural</t>
        </is>
      </c>
      <c r="F92" s="28" t="inlineStr">
        <is>
          <t>Fixed</t>
        </is>
      </c>
      <c r="G92" s="28" t="inlineStr">
        <is>
          <t>Verified</t>
        </is>
      </c>
      <c r="H92" s="28" t="inlineStr">
        <is>
          <t>New src/middleware/api-version.js. /api/v1/... and /api/... serve the SAME router — unversioned is an alias for the current version, not a second contract, because two implementations is how versioning schemes rot. Every response carries X-API-Version; the unversioned path additionally carries X-API-Deprecation-Notice and increments a counter, which is what makes retiring it a decision based on traffic rather than nerve. deprecate({sunset, replacement, reason}) emits the RFC 8594 Deprecation/Sunset headers plus Link rel=successor-version and a human-readable Warning — so a breaking change can be announced ON THE WIRE months before it lands, which is the thing that was impossible. It announces and never enforces: turning an endpoint off is a deploy. Unversioned paths are NOT refused, because the React app, the PWA and every integration call them, and refusing them would be a breaking change made in the name of enabling breaking changes safely.</t>
        </is>
      </c>
    </row>
    <row r="93" ht="15" customHeight="1" s="25">
      <c r="A93" s="27" t="inlineStr">
        <is>
          <t>API-F20</t>
        </is>
      </c>
      <c r="B93" s="28" t="inlineStr">
        <is>
          <t>API Contract</t>
        </is>
      </c>
      <c r="C93" s="28" t="inlineStr">
        <is>
          <t>Platform secret management has no capability check (8 routes)</t>
        </is>
      </c>
      <c r="D93" s="29" t="inlineStr">
        <is>
          <t>Critical</t>
        </is>
      </c>
      <c r="E93" s="28" t="inlineStr">
        <is>
          <t>Code, quick</t>
        </is>
      </c>
      <c r="F93" s="30" t="inlineStr">
        <is>
          <t>Fixed</t>
        </is>
      </c>
      <c r="G93" s="31" t="inlineStr">
        <is>
          <t>Verified in code</t>
        </is>
      </c>
      <c r="H93" s="28" t="inlineStr">
        <is>
          <t>Same fix as SEC-H2.</t>
        </is>
      </c>
    </row>
    <row r="94" ht="15" customHeight="1" s="25">
      <c r="A94" s="27" t="inlineStr">
        <is>
          <t>API-F30</t>
        </is>
      </c>
      <c r="B94" s="28" t="inlineStr">
        <is>
          <t>API Contract</t>
        </is>
      </c>
      <c r="C94" s="28" t="inlineStr">
        <is>
          <t>There is no mechanism that would catch a contract regression</t>
        </is>
      </c>
      <c r="D94" s="29" t="inlineStr">
        <is>
          <t>Critical</t>
        </is>
      </c>
      <c r="E94" s="28" t="inlineStr">
        <is>
          <t>CI + test</t>
        </is>
      </c>
      <c r="F94" s="28" t="inlineStr">
        <is>
          <t>Fixed</t>
        </is>
      </c>
      <c r="G94" s="28" t="inlineStr">
        <is>
          <t>Verified</t>
        </is>
      </c>
      <c r="H94" s="28" t="inlineStr">
        <is>
          <t>New scripts/check-api-contract.js + CI gate. Mounts the real routers and diffs the live surface (METHOD path, plus whether the chain carries auth / rbac / a validator) against doc/api-contract.json. Derived from the code rather than hand-maintained, because F-25 shows what happens to a hand-written spec: 19% complete and drifted. Removals and LOST GATES fail; additions do not — a check that fails on every new route gets --update'd without being read. A MISSING snapshot is a failure, not a silent bootstrap: auto-writing it would make CI regenerate and self-compare forever, a green tick over an unguarded contract, which is exactly the state F-30 describes. The diff logic is exported and covered by 19 assertions in tests/unit/api-contract.test.js. OWNER ACTION: run `node scripts/check-api-contract.js --update` once and commit doc/api-contract.json — it needs the full module mount, which exceeds this sandbox's timeout.</t>
        </is>
      </c>
    </row>
    <row r="95" ht="15" customHeight="1" s="25">
      <c r="A95" s="27" t="inlineStr">
        <is>
          <t>API-F2</t>
        </is>
      </c>
      <c r="B95" s="28" t="inlineStr">
        <is>
          <t>API Contract</t>
        </is>
      </c>
      <c r="C95" s="28" t="inlineStr">
        <is>
          <t>Three different response shapes for 'your input was invalid'</t>
        </is>
      </c>
      <c r="D95" s="32" t="inlineStr">
        <is>
          <t>High</t>
        </is>
      </c>
      <c r="E95" s="28" t="inlineStr">
        <is>
          <t>Code (BC)</t>
        </is>
      </c>
      <c r="F95" s="28" t="inlineStr">
        <is>
          <t>Fixed</t>
        </is>
      </c>
      <c r="G95" s="28" t="inlineStr">
        <is>
          <t>Verified</t>
        </is>
      </c>
      <c r="H95" s="28" t="inlineStr">
        <is>
          <t>One shape everywhere: 422 VALIDATION_ERROR + fields. app_user.validator (every auth endpoint) delegated to the shared kit, losing VALIDATION_FAILED/details and GAINING request_id because it now travels through next(err) - which also closes F-3 for those routes. workflow and scope moved 400 -&gt; 422; the ZodError fallback moved 400 -&gt; 422. `details` still emitted alongside `fields` as a deprecated alias so existing auth integrations survive the deploy. Client fixed too: api-client read err.details, which the server sent from exactly ONE file, so field-level messages never reached the UI on ~700 routes - now reads fields with a details fallback, and form.tsx + use-resource.ts follow. Verified no 400 VALIDATION_ERROR and no VALIDATION_FAILED remain in src/.</t>
        </is>
      </c>
    </row>
    <row r="96" ht="15" customHeight="1" s="25">
      <c r="A96" s="27" t="inlineStr">
        <is>
          <t>API-F15</t>
        </is>
      </c>
      <c r="B96" s="28" t="inlineStr">
        <is>
          <t>API Contract</t>
        </is>
      </c>
      <c r="C96" s="28" t="inlineStr">
        <is>
          <t>60 write routes accept an unvalidated body (17% of writes)</t>
        </is>
      </c>
      <c r="D96" s="32" t="inlineStr">
        <is>
          <t>High</t>
        </is>
      </c>
      <c r="E96" s="28" t="inlineStr">
        <is>
          <t>Code</t>
        </is>
      </c>
      <c r="F96" s="28" t="inlineStr">
        <is>
          <t>Fixed</t>
        </is>
      </c>
      <c r="G96" s="28" t="inlineStr">
        <is>
          <t>Verified</t>
        </is>
      </c>
      <c r="H96" s="28" t="inlineStr">
        <is>
          <t>Validators added to every route the audit listed that actually reads req.body: permissions/grant (the RBAC matrix - .strict() so a misspelled can_aprove cannot silently write false, and z.boolean() so the string "false" stops granting delete through the repo's !! coercion), 4 branding routes (8 MB cap + data-URL shape on the two uploads), mail senders x2 + thread link, smartcomm quick-reply PATCH (which had reused the CREATE guard), scope member add, report run/:key/pdf, and the two platform :section/:key and :vendor path params. audit_ledger completeReview was listed but reads no body - verified, no validator needed.</t>
        </is>
      </c>
    </row>
    <row r="97" ht="15" customHeight="1" s="25">
      <c r="A97" s="27" t="inlineStr">
        <is>
          <t>API-F16</t>
        </is>
      </c>
      <c r="B97" s="28" t="inlineStr">
        <is>
          <t>API Contract</t>
        </is>
      </c>
      <c r="C97" s="28" t="inlineStr">
        <is>
          <t>Query and path parameters are almost never validated</t>
        </is>
      </c>
      <c r="D97" s="32" t="inlineStr">
        <is>
          <t>High</t>
        </is>
      </c>
      <c r="E97" s="28" t="inlineStr">
        <is>
          <t>Code</t>
        </is>
      </c>
      <c r="F97" s="28" t="inlineStr">
        <is>
          <t>Fixed</t>
        </is>
      </c>
      <c r="G97" s="28" t="inlineStr">
        <is>
          <t>Verified</t>
        </is>
      </c>
      <c r="H97" s="28" t="inlineStr">
        <is>
          <t>idParamGuard bound by the module loader via router.param on every mounted router INCLUDING nested ones, so all 363 /:id routes are covered without editing 363 files. Accepts UUID or digits - checked every non-uuid PK in the schema (event_log, immutable_ledger, ai_usage_ledger, event_dispatch are bigint) and confirmed by cross-referencing all 73 /:id modules against their tables that ZERO need the idParam:'text' opt-out (treasury_account looked like a false positive and routes gateways by :provider, which is not guarded). Proven end-to-end on a live express app: uuid 200, bigint 200, garbage 422 with fields.id, sql-ish 422, nested-router garbage 422. strictQuery() added for unknown-filter rejection - the silent ?statuss=ACTIVE case.</t>
        </is>
      </c>
    </row>
    <row r="98" ht="23.25" customHeight="1" s="25">
      <c r="A98" s="27" t="inlineStr">
        <is>
          <t>API-F19</t>
        </is>
      </c>
      <c r="B98" s="28" t="inlineStr">
        <is>
          <t>API Contract</t>
        </is>
      </c>
      <c r="C98" s="28" t="inlineStr">
        <is>
          <t>Modules can vanish from the API without any error</t>
        </is>
      </c>
      <c r="D98" s="32" t="inlineStr">
        <is>
          <t>High</t>
        </is>
      </c>
      <c r="E98" s="28" t="inlineStr">
        <is>
          <t>Additive</t>
        </is>
      </c>
      <c r="F98" s="30" t="inlineStr">
        <is>
          <t>Fixed</t>
        </is>
      </c>
      <c r="G98" s="31" t="inlineStr">
        <is>
          <t>Verified in code</t>
        </is>
      </c>
      <c r="H98" s="28" t="inlineStr">
        <is>
          <t>Skipped modules recorded, logged at error, and surfaced on /api/health/ready.</t>
        </is>
      </c>
    </row>
    <row r="99" ht="15" customHeight="1" s="25">
      <c r="A99" s="27" t="inlineStr">
        <is>
          <t>API-F21</t>
        </is>
      </c>
      <c r="B99" s="28" t="inlineStr">
        <is>
          <t>API Contract</t>
        </is>
      </c>
      <c r="C99" s="28" t="inlineStr">
        <is>
          <t>Structurally identical lifecycle endpoints require different permissions</t>
        </is>
      </c>
      <c r="D99" s="32" t="inlineStr">
        <is>
          <t>High</t>
        </is>
      </c>
      <c r="E99" s="28" t="inlineStr">
        <is>
          <t>Code (BC)</t>
        </is>
      </c>
      <c r="F99" s="28" t="inlineStr">
        <is>
          <t>Open</t>
        </is>
      </c>
      <c r="G99" s="28" t="inlineStr">
        <is>
          <t>As reported</t>
        </is>
      </c>
      <c r="H99" s="28" t="n"/>
    </row>
    <row r="100" ht="15" customHeight="1" s="25">
      <c r="A100" s="27" t="inlineStr">
        <is>
          <t>API-F25</t>
        </is>
      </c>
      <c r="B100" s="28" t="inlineStr">
        <is>
          <t>API Contract</t>
        </is>
      </c>
      <c r="C100" s="28" t="inlineStr">
        <is>
          <t>No API spec exists; the one artefact that does is 19% complete and has drifted</t>
        </is>
      </c>
      <c r="D100" s="32" t="inlineStr">
        <is>
          <t>High</t>
        </is>
      </c>
      <c r="E100" s="28" t="inlineStr">
        <is>
          <t>Docs</t>
        </is>
      </c>
      <c r="F100" s="28" t="inlineStr">
        <is>
          <t>Open</t>
        </is>
      </c>
      <c r="G100" s="28" t="inlineStr">
        <is>
          <t>As reported</t>
        </is>
      </c>
      <c r="H100" s="28" t="n"/>
    </row>
    <row r="101" ht="34.5" customHeight="1" s="25">
      <c r="A101" s="27" t="inlineStr">
        <is>
          <t>API-F26</t>
        </is>
      </c>
      <c r="B101" s="28" t="inlineStr">
        <is>
          <t>API Contract</t>
        </is>
      </c>
      <c r="C101" s="28" t="inlineStr">
        <is>
          <t>No list endpoint reports a total, so no consumer can paginate</t>
        </is>
      </c>
      <c r="D101" s="32" t="inlineStr">
        <is>
          <t>High</t>
        </is>
      </c>
      <c r="E101" s="28" t="inlineStr">
        <is>
          <t>Additive</t>
        </is>
      </c>
      <c r="F101" s="35" t="inlineStr">
        <is>
          <t>Fixed</t>
        </is>
      </c>
      <c r="G101" s="31" t="inlineStr">
        <is>
          <t>Verified</t>
        </is>
      </c>
      <c r="H101" s="28" t="inlineStr">
        <is>
          <t>Shared CRUD list adds COUNT(*) OVER() and makeController emits meta {total, limit, offset, has_more} ALONGSIDE data - data stays a bare array, so the existing client is unaffected. The total rides on a non-enumerable property rather than changing repo.list's return type, which 90 modules depend on; proven that JSON.stringify, Object.keys and spread all still see a plain array. Client reads meta.total/has_more with the X-Total-Count header as fallback. meta is OMITTED rather than faked when a hand-rolled list reports no total - a client trusting total:0 would show an empty pager over a full list.</t>
        </is>
      </c>
    </row>
    <row r="102" ht="15" customHeight="1" s="25">
      <c r="A102" s="27" t="inlineStr">
        <is>
          <t>API-F27</t>
        </is>
      </c>
      <c r="B102" s="28" t="inlineStr">
        <is>
          <t>API Contract</t>
        </is>
      </c>
      <c r="C102" s="28" t="inlineStr">
        <is>
          <t>17 list endpoints have no LIMIT at all, including /sessions and /permissions</t>
        </is>
      </c>
      <c r="D102" s="32" t="inlineStr">
        <is>
          <t>High</t>
        </is>
      </c>
      <c r="E102" s="28" t="inlineStr">
        <is>
          <t>Code (BC)</t>
        </is>
      </c>
      <c r="F102" s="28" t="inlineStr">
        <is>
          <t>Fixed</t>
        </is>
      </c>
      <c r="G102" s="28" t="inlineStr">
        <is>
          <t>Verified</t>
        </is>
      </c>
      <c r="H102" s="28" t="inlineStr">
        <is>
          <t>New listComplete() helper: asks for ceiling+1 and THROWS RESULT_SET_TOO_LARGE naming the endpoint if that many come back, rather than truncating. Applied to permission matrix (20k), settings x2, document signatures, outbound lines, training attendance, job applicants. The blanket 'apply the default limit' fix would have been WRONG for permission.listAll, which exists precisely because the paginated version truncated the grant matrix and editors overwrote it blind. Caught a self-inflicted bug mid-change: all 7 call sites destructure `const { rows } = await ...`, so a helper returning a bare array would have made every one of them undefined - listComplete returns { rows } to be a drop-in for client.query. Tested at, below and above the ceiling.</t>
        </is>
      </c>
    </row>
    <row r="103" ht="15" customHeight="1" s="25">
      <c r="A103" s="27" t="inlineStr">
        <is>
          <t>API-F3</t>
        </is>
      </c>
      <c r="B103" s="28" t="inlineStr">
        <is>
          <t>API Contract</t>
        </is>
      </c>
      <c r="C103" s="28" t="inlineStr">
        <is>
          <t>Middleware-level errors omit request_id</t>
        </is>
      </c>
      <c r="D103" s="33" t="inlineStr">
        <is>
          <t>Medium</t>
        </is>
      </c>
      <c r="E103" s="28" t="inlineStr">
        <is>
          <t>Code</t>
        </is>
      </c>
      <c r="F103" s="28" t="inlineStr">
        <is>
          <t>Open</t>
        </is>
      </c>
      <c r="G103" s="28" t="inlineStr">
        <is>
          <t>As reported</t>
        </is>
      </c>
      <c r="H103" s="28" t="n"/>
    </row>
    <row r="104" ht="15" customHeight="1" s="25">
      <c r="A104" s="27" t="inlineStr">
        <is>
          <t>API-F4</t>
        </is>
      </c>
      <c r="B104" s="28" t="inlineStr">
        <is>
          <t>API Contract</t>
        </is>
      </c>
      <c r="C104" s="28" t="inlineStr">
        <is>
          <t>A platform-host request to the tenant API returns 500</t>
        </is>
      </c>
      <c r="D104" s="33" t="inlineStr">
        <is>
          <t>Medium</t>
        </is>
      </c>
      <c r="E104" s="28" t="inlineStr">
        <is>
          <t>Code</t>
        </is>
      </c>
      <c r="F104" s="28" t="inlineStr">
        <is>
          <t>Open</t>
        </is>
      </c>
      <c r="G104" s="28" t="inlineStr">
        <is>
          <t>As reported</t>
        </is>
      </c>
      <c r="H104" s="28" t="n"/>
    </row>
    <row r="105" ht="15" customHeight="1" s="25">
      <c r="A105" s="27" t="inlineStr">
        <is>
          <t>API-F7</t>
        </is>
      </c>
      <c r="B105" s="28" t="inlineStr">
        <is>
          <t>API Contract</t>
        </is>
      </c>
      <c r="C105" s="28" t="inlineStr">
        <is>
          <t>/portal and /portals are different products</t>
        </is>
      </c>
      <c r="D105" s="33" t="inlineStr">
        <is>
          <t>Medium</t>
        </is>
      </c>
      <c r="E105" s="28" t="inlineStr">
        <is>
          <t>Code (BC)</t>
        </is>
      </c>
      <c r="F105" s="28" t="inlineStr">
        <is>
          <t>Open</t>
        </is>
      </c>
      <c r="G105" s="28" t="inlineStr">
        <is>
          <t>As reported</t>
        </is>
      </c>
      <c r="H105" s="28" t="n"/>
    </row>
    <row r="106" ht="15" customHeight="1" s="25">
      <c r="A106" s="27" t="inlineStr">
        <is>
          <t>API-F8</t>
        </is>
      </c>
      <c r="B106" s="28" t="inlineStr">
        <is>
          <t>API Contract</t>
        </is>
      </c>
      <c r="C106" s="28" t="inlineStr">
        <is>
          <t>Resource-name pluralisation is ~63/37</t>
        </is>
      </c>
      <c r="D106" s="33" t="inlineStr">
        <is>
          <t>Medium</t>
        </is>
      </c>
      <c r="E106" s="28" t="inlineStr">
        <is>
          <t>Code (BC)</t>
        </is>
      </c>
      <c r="F106" s="28" t="inlineStr">
        <is>
          <t>Open</t>
        </is>
      </c>
      <c r="G106" s="28" t="inlineStr">
        <is>
          <t>As reported</t>
        </is>
      </c>
      <c r="H106" s="28" t="n"/>
    </row>
    <row r="107" ht="15" customHeight="1" s="25">
      <c r="A107" s="27" t="inlineStr">
        <is>
          <t>API-F9</t>
        </is>
      </c>
      <c r="B107" s="28" t="inlineStr">
        <is>
          <t>API Contract</t>
        </is>
      </c>
      <c r="C107" s="28" t="inlineStr">
        <is>
          <t>Module-to-URL mapping is not derivable, and three modules claim the tenant root</t>
        </is>
      </c>
      <c r="D107" s="33" t="inlineStr">
        <is>
          <t>Medium</t>
        </is>
      </c>
      <c r="E107" s="28" t="inlineStr">
        <is>
          <t>Code (BC)</t>
        </is>
      </c>
      <c r="F107" s="28" t="inlineStr">
        <is>
          <t>Open</t>
        </is>
      </c>
      <c r="G107" s="28" t="inlineStr">
        <is>
          <t>As reported</t>
        </is>
      </c>
      <c r="H107" s="28" t="n"/>
    </row>
    <row r="108" ht="15" customHeight="1" s="25">
      <c r="A108" s="27" t="inlineStr">
        <is>
          <t>API-F10</t>
        </is>
      </c>
      <c r="B108" s="28" t="inlineStr">
        <is>
          <t>API Contract</t>
        </is>
      </c>
      <c r="C108" s="28" t="inlineStr">
        <is>
          <t>Grouping depth is arbitrary</t>
        </is>
      </c>
      <c r="D108" s="33" t="inlineStr">
        <is>
          <t>Medium</t>
        </is>
      </c>
      <c r="E108" s="28" t="inlineStr">
        <is>
          <t>Code (BC)</t>
        </is>
      </c>
      <c r="F108" s="28" t="inlineStr">
        <is>
          <t>Open</t>
        </is>
      </c>
      <c r="G108" s="28" t="inlineStr">
        <is>
          <t>As reported</t>
        </is>
      </c>
      <c r="H108" s="28" t="n"/>
    </row>
    <row r="109" ht="15" customHeight="1" s="25">
      <c r="A109" s="27" t="inlineStr">
        <is>
          <t>API-F11</t>
        </is>
      </c>
      <c r="B109" s="28" t="inlineStr">
        <is>
          <t>API Contract</t>
        </is>
      </c>
      <c r="C109" s="28" t="inlineStr">
        <is>
          <t>Two idioms for the same operation: lifecycle transitions</t>
        </is>
      </c>
      <c r="D109" s="33" t="inlineStr">
        <is>
          <t>Medium</t>
        </is>
      </c>
      <c r="E109" s="28" t="inlineStr">
        <is>
          <t>Code (BC)</t>
        </is>
      </c>
      <c r="F109" s="28" t="inlineStr">
        <is>
          <t>Open</t>
        </is>
      </c>
      <c r="G109" s="28" t="inlineStr">
        <is>
          <t>As reported</t>
        </is>
      </c>
      <c r="H109" s="28" t="n"/>
    </row>
    <row r="110" ht="15" customHeight="1" s="25">
      <c r="A110" s="27" t="inlineStr">
        <is>
          <t>API-F12</t>
        </is>
      </c>
      <c r="B110" s="28" t="inlineStr">
        <is>
          <t>API Contract</t>
        </is>
      </c>
      <c r="C110" s="28" t="inlineStr">
        <is>
          <t>DELETE means two different things (hard delete vs soft archive)</t>
        </is>
      </c>
      <c r="D110" s="33" t="inlineStr">
        <is>
          <t>Medium</t>
        </is>
      </c>
      <c r="E110" s="28" t="inlineStr">
        <is>
          <t>Code (BC)</t>
        </is>
      </c>
      <c r="F110" s="28" t="inlineStr">
        <is>
          <t>Open</t>
        </is>
      </c>
      <c r="G110" s="28" t="inlineStr">
        <is>
          <t>As reported</t>
        </is>
      </c>
      <c r="H110" s="28" t="n"/>
    </row>
    <row r="111" ht="15" customHeight="1" s="25">
      <c r="A111" s="27" t="inlineStr">
        <is>
          <t>API-F17</t>
        </is>
      </c>
      <c r="B111" s="28" t="inlineStr">
        <is>
          <t>API Contract</t>
        </is>
      </c>
      <c r="C111" s="28" t="inlineStr">
        <is>
          <t>PATCH bodies are create.partial(), so every writable field is patchable</t>
        </is>
      </c>
      <c r="D111" s="33" t="inlineStr">
        <is>
          <t>Medium</t>
        </is>
      </c>
      <c r="E111" s="28" t="inlineStr">
        <is>
          <t>Code</t>
        </is>
      </c>
      <c r="F111" s="28" t="inlineStr">
        <is>
          <t>Open</t>
        </is>
      </c>
      <c r="G111" s="28" t="inlineStr">
        <is>
          <t>As reported</t>
        </is>
      </c>
      <c r="H111" s="28" t="n"/>
    </row>
    <row r="112" ht="15" customHeight="1" s="25">
      <c r="A112" s="27" t="inlineStr">
        <is>
          <t>API-F22</t>
        </is>
      </c>
      <c r="B112" s="28" t="inlineStr">
        <is>
          <t>API Contract</t>
        </is>
      </c>
      <c r="C112" s="28" t="inlineStr">
        <is>
          <t>In Smart Comms, 'view' authorises writes</t>
        </is>
      </c>
      <c r="D112" s="33" t="inlineStr">
        <is>
          <t>Medium</t>
        </is>
      </c>
      <c r="E112" s="28" t="inlineStr">
        <is>
          <t>Code (BC)</t>
        </is>
      </c>
      <c r="F112" s="28" t="inlineStr">
        <is>
          <t>Open</t>
        </is>
      </c>
      <c r="G112" s="28" t="inlineStr">
        <is>
          <t>As reported</t>
        </is>
      </c>
      <c r="H112" s="28" t="n"/>
    </row>
    <row r="113" ht="15" customHeight="1" s="25">
      <c r="A113" s="27" t="inlineStr">
        <is>
          <t>API-F23</t>
        </is>
      </c>
      <c r="B113" s="28" t="inlineStr">
        <is>
          <t>API Contract</t>
        </is>
      </c>
      <c r="C113" s="28" t="inlineStr">
        <is>
          <t>Authenticated-but-ungated endpoints are correct, but undeclared</t>
        </is>
      </c>
      <c r="D113" s="33" t="inlineStr">
        <is>
          <t>Medium</t>
        </is>
      </c>
      <c r="E113" s="28" t="inlineStr">
        <is>
          <t>Docs</t>
        </is>
      </c>
      <c r="F113" s="28" t="inlineStr">
        <is>
          <t>Open</t>
        </is>
      </c>
      <c r="G113" s="28" t="inlineStr">
        <is>
          <t>As reported</t>
        </is>
      </c>
      <c r="H113" s="28" t="n"/>
    </row>
    <row r="114" ht="15" customHeight="1" s="25">
      <c r="A114" s="27" t="inlineStr">
        <is>
          <t>API-F28</t>
        </is>
      </c>
      <c r="B114" s="28" t="inlineStr">
        <is>
          <t>API Contract</t>
        </is>
      </c>
      <c r="C114" s="28" t="inlineStr">
        <is>
          <t>Filtering is undeclared, per-repo, and silently ignores typos</t>
        </is>
      </c>
      <c r="D114" s="33" t="inlineStr">
        <is>
          <t>Medium</t>
        </is>
      </c>
      <c r="E114" s="28" t="inlineStr">
        <is>
          <t>Docs + code (BC)</t>
        </is>
      </c>
      <c r="F114" s="28" t="inlineStr">
        <is>
          <t>Open</t>
        </is>
      </c>
      <c r="G114" s="28" t="inlineStr">
        <is>
          <t>As reported</t>
        </is>
      </c>
      <c r="H114" s="28" t="n"/>
    </row>
    <row r="115" ht="15" customHeight="1" s="25">
      <c r="A115" s="27" t="inlineStr">
        <is>
          <t>API-F29</t>
        </is>
      </c>
      <c r="B115" s="28" t="inlineStr">
        <is>
          <t>API Contract</t>
        </is>
      </c>
      <c r="C115" s="28" t="inlineStr">
        <is>
          <t>Sorting is not exposed anywhere</t>
        </is>
      </c>
      <c r="D115" s="33" t="inlineStr">
        <is>
          <t>Medium</t>
        </is>
      </c>
      <c r="E115" s="28" t="inlineStr">
        <is>
          <t>Additive</t>
        </is>
      </c>
      <c r="F115" s="28" t="inlineStr">
        <is>
          <t>Open</t>
        </is>
      </c>
      <c r="G115" s="28" t="inlineStr">
        <is>
          <t>As reported</t>
        </is>
      </c>
      <c r="H115" s="28" t="n"/>
    </row>
    <row r="116" ht="15" customHeight="1" s="25">
      <c r="A116" s="27" t="inlineStr">
        <is>
          <t>API-F5</t>
        </is>
      </c>
      <c r="B116" s="28" t="inlineStr">
        <is>
          <t>API Contract</t>
        </is>
      </c>
      <c r="C116" s="28" t="inlineStr">
        <is>
          <t>188 error codes, no registry</t>
        </is>
      </c>
      <c r="D116" s="34" t="inlineStr">
        <is>
          <t>Low</t>
        </is>
      </c>
      <c r="E116" s="28" t="inlineStr">
        <is>
          <t>Docs</t>
        </is>
      </c>
      <c r="F116" s="28" t="inlineStr">
        <is>
          <t>Open</t>
        </is>
      </c>
      <c r="G116" s="28" t="inlineStr">
        <is>
          <t>As reported</t>
        </is>
      </c>
      <c r="H116" s="28" t="n"/>
    </row>
    <row r="117" ht="15" customHeight="1" s="25">
      <c r="A117" s="27" t="inlineStr">
        <is>
          <t>API-F13</t>
        </is>
      </c>
      <c r="B117" s="28" t="inlineStr">
        <is>
          <t>API Contract</t>
        </is>
      </c>
      <c r="C117" s="28" t="inlineStr">
        <is>
          <t>Identity in the body instead of the URL, and inverted nesting</t>
        </is>
      </c>
      <c r="D117" s="34" t="inlineStr">
        <is>
          <t>Low</t>
        </is>
      </c>
      <c r="E117" s="28" t="inlineStr">
        <is>
          <t>Code (BC)</t>
        </is>
      </c>
      <c r="F117" s="28" t="inlineStr">
        <is>
          <t>Open</t>
        </is>
      </c>
      <c r="G117" s="28" t="inlineStr">
        <is>
          <t>As reported</t>
        </is>
      </c>
      <c r="H117" s="28" t="n"/>
    </row>
    <row r="118" ht="15" customHeight="1" s="25">
      <c r="A118" s="27" t="inlineStr">
        <is>
          <t>API-F14</t>
        </is>
      </c>
      <c r="B118" s="28" t="inlineStr">
        <is>
          <t>API Contract</t>
        </is>
      </c>
      <c r="C118" s="28" t="inlineStr">
        <is>
          <t>Reads that are POSTs, and one read that writes</t>
        </is>
      </c>
      <c r="D118" s="34" t="inlineStr">
        <is>
          <t>Low</t>
        </is>
      </c>
      <c r="E118" s="28" t="inlineStr">
        <is>
          <t>Code (BC)</t>
        </is>
      </c>
      <c r="F118" s="28" t="inlineStr">
        <is>
          <t>Open</t>
        </is>
      </c>
      <c r="G118" s="28" t="inlineStr">
        <is>
          <t>As reported</t>
        </is>
      </c>
      <c r="H118" s="28" t="n"/>
    </row>
    <row r="119" ht="23.25" customHeight="1" s="25">
      <c r="A119" s="27" t="inlineStr">
        <is>
          <t>API-F24</t>
        </is>
      </c>
      <c r="B119" s="28" t="inlineStr">
        <is>
          <t>API Contract</t>
        </is>
      </c>
      <c r="C119" s="28" t="inlineStr">
        <is>
          <t>Unauthenticated routes - reviewed, all justified</t>
        </is>
      </c>
      <c r="D119" s="34" t="inlineStr">
        <is>
          <t>Low</t>
        </is>
      </c>
      <c r="E119" s="28" t="inlineStr">
        <is>
          <t>No action (positive finding)</t>
        </is>
      </c>
      <c r="F119" s="36" t="inlineStr">
        <is>
          <t>Closed</t>
        </is>
      </c>
      <c r="G119" s="28" t="inlineStr">
        <is>
          <t>As reported</t>
        </is>
      </c>
      <c r="H119" s="28" t="n"/>
    </row>
    <row r="120" ht="23.25" customHeight="1" s="25">
      <c r="A120" s="27" t="inlineStr">
        <is>
          <t>PERF-S1</t>
        </is>
      </c>
      <c r="B120" s="28" t="inlineStr">
        <is>
          <t>Perf &amp; Architecture</t>
        </is>
      </c>
      <c r="C120" s="28" t="inlineStr">
        <is>
          <t>Tenant connection model caps the product at ~12 active tenants per API process</t>
        </is>
      </c>
      <c r="D120" s="29" t="inlineStr">
        <is>
          <t>Critical</t>
        </is>
      </c>
      <c r="E120" s="28" t="inlineStr">
        <is>
          <t>Structural</t>
        </is>
      </c>
      <c r="F120" s="28" t="inlineStr">
        <is>
          <t>Fixed</t>
        </is>
      </c>
      <c r="G120" s="31" t="inlineStr">
        <is>
          <t>Verified</t>
        </is>
      </c>
      <c r="H120" s="28" t="inlineStr">
        <is>
          <t>registry.service: LRU pool cache (TENANT_POOL_CACHE_MAX=24, drains the least recently used), min:0 + idleTimeoutMillis so a quiet tenant holds zero backend connections, connectionTimeoutMillis so a saturated pool fails visibly instead of hanging, and a PgBouncer seam (TENANT_DB_POOLER_HOST/PORT) for the ladder DB_ARCHITECTURE.md:46 documented but never built. Per-request pinning (S2) cuts demand 3x on its own. Exercised the REAL module with pg stubbed: cap 3, warmed 5 -&gt; 2 evicted; touched t3 then warmed t6 -&gt; t4 evicted, t3 survived. Pool count exposed on /api/health/ready as tenant_pools (reported, never fatal - shedding a busy instance sends its traffic to equally busy siblings).</t>
        </is>
      </c>
    </row>
    <row r="121" ht="15" customHeight="1" s="25">
      <c r="A121" s="27" t="inlineStr">
        <is>
          <t>PERF-S2</t>
        </is>
      </c>
      <c r="B121" s="28" t="inlineStr">
        <is>
          <t>Perf &amp; Architecture</t>
        </is>
      </c>
      <c r="C121" s="28" t="inlineStr">
        <is>
          <t>Three pool checkouts and three SET search_path round-trips per request</t>
        </is>
      </c>
      <c r="D121" s="29" t="inlineStr">
        <is>
          <t>Critical</t>
        </is>
      </c>
      <c r="E121" s="28" t="inlineStr">
        <is>
          <t>Structural</t>
        </is>
      </c>
      <c r="F121" s="28" t="inlineStr">
        <is>
          <t>Fixed</t>
        </is>
      </c>
      <c r="G121" s="28" t="inlineStr">
        <is>
          <t>Verified</t>
        </is>
      </c>
      <c r="H121" s="28" t="inlineStr">
        <is>
          <t>tenant-context pins ONE connection per request, acquired lazily on first use and released on res finish AND close. search_path is now a startup parameter (`options: -c search_path=...`) and re-issued only when the schema actually changes. Measured on a pg-semantics model, 100 requests: LIVE went 300 checkouts + 300 SET -&gt; 100 checkouts + 0 SET; sandbox 600 round-trips -&gt; 299. Effective in-flight requests per tenant at pool_max 8: 2.7 -&gt; 8. Verified first that nothing runs req.tenantDb calls concurrently (no Promise.all over them in src/), so sharing a client changes no behaviour.</t>
        </is>
      </c>
    </row>
    <row r="122" ht="23.25" customHeight="1" s="25">
      <c r="A122" s="27" t="inlineStr">
        <is>
          <t>PERF-S3</t>
        </is>
      </c>
      <c r="B122" s="28" t="inlineStr">
        <is>
          <t>Perf &amp; Architecture</t>
        </is>
      </c>
      <c r="C122" s="28" t="inlineStr">
        <is>
          <t>123 of 126 tables sort by an unindexed created_at - 462x speedup available</t>
        </is>
      </c>
      <c r="D122" s="29" t="inlineStr">
        <is>
          <t>Critical</t>
        </is>
      </c>
      <c r="E122" s="28" t="inlineStr">
        <is>
          <t>Quick win</t>
        </is>
      </c>
      <c r="F122" s="30" t="inlineStr">
        <is>
          <t>Fixed</t>
        </is>
      </c>
      <c r="G122" s="31" t="inlineStr">
        <is>
          <t>Verified in code</t>
        </is>
      </c>
      <c r="H122" s="28" t="inlineStr">
        <is>
          <t>Migration 0496 adds a created_at index to all 127 tenant tables that declare one (DDL-parsed: zero were indexed). Measured 462x. Plain CREATE INDEX because the migrator's multi-statement query is an implicit transaction block, where CONCURRENTLY cannot run. Targets verified against the DDL — but NOT YET EXECUTED. Commit 537a4af.</t>
        </is>
      </c>
    </row>
    <row r="123" ht="15" customHeight="1" s="25">
      <c r="A123" s="27" t="inlineStr">
        <is>
          <t>PERF-S4</t>
        </is>
      </c>
      <c r="B123" s="28" t="inlineStr">
        <is>
          <t>Perf &amp; Architecture</t>
        </is>
      </c>
      <c r="C123" s="28" t="inlineStr">
        <is>
          <t>Per-request recursive CTE over an unindexed tree (scope.parent_scope_id)</t>
        </is>
      </c>
      <c r="D123" s="32" t="inlineStr">
        <is>
          <t>High</t>
        </is>
      </c>
      <c r="E123" s="28" t="inlineStr">
        <is>
          <t>Quick + structural</t>
        </is>
      </c>
      <c r="F123" s="28" t="inlineStr">
        <is>
          <t>Fixed</t>
        </is>
      </c>
      <c r="G123" s="28" t="inlineStr">
        <is>
          <t>Verified</t>
        </is>
      </c>
      <c r="H123" s="28" t="inlineStr">
        <is>
          <t>The index half arrived with 0500 (idx_scope_parent_scope_id) - the audit measured 14.78ms -&gt; 0.92ms at 19,510 nodes from the index alone. The structural half is here: getUserScopeClosure is now cached. The original comment's refusal to cache was RIGHT about the risk (a re-parent leaves every descendant user stale) and wrong about the frequency - it reasoned that approval decisions are rare, but requirePermission calls this on EVERY permission-gated request. Solved by invalidating on the TREE, not the user: a monotonic version counter is folded into the cache key and every scope/user_scope write INCRs it, retiring every cached closure for the tenant in one command with no scan and no stale window. Wired into all 5 write sites in scope.service and scope.members. Proven: 20 requests -&gt; 1 CTE; 3 users x 10 -&gt; 2 CTEs; a re-parent without the bump returns the stale closure (reproducing the original objection), and bumpScopeVersion() makes it fresh; other tenants untouched.</t>
        </is>
      </c>
    </row>
    <row r="124" ht="15" customHeight="1" s="25">
      <c r="A124" s="27" t="inlineStr">
        <is>
          <t>PERF-S5</t>
        </is>
      </c>
      <c r="B124" s="28" t="inlineStr">
        <is>
          <t>Perf &amp; Architecture</t>
        </is>
      </c>
      <c r="C124" s="28" t="inlineStr">
        <is>
          <t>Notification fan-out is an N+1 inside the business transaction</t>
        </is>
      </c>
      <c r="D124" s="32" t="inlineStr">
        <is>
          <t>High</t>
        </is>
      </c>
      <c r="E124" s="28" t="inlineStr">
        <is>
          <t>Structural</t>
        </is>
      </c>
      <c r="F124" s="28" t="inlineStr">
        <is>
          <t>Open</t>
        </is>
      </c>
      <c r="G124" s="28" t="inlineStr">
        <is>
          <t>As reported</t>
        </is>
      </c>
      <c r="H124" s="28" t="n"/>
    </row>
    <row r="125" ht="15" customHeight="1" s="25">
      <c r="A125" s="27" t="inlineStr">
        <is>
          <t>PERF-S6</t>
        </is>
      </c>
      <c r="B125" s="28" t="inlineStr">
        <is>
          <t>Perf &amp; Architecture</t>
        </is>
      </c>
      <c r="C125" s="28" t="inlineStr">
        <is>
          <t>Every write pays 4-6 extra sequential round-trips</t>
        </is>
      </c>
      <c r="D125" s="32" t="inlineStr">
        <is>
          <t>High</t>
        </is>
      </c>
      <c r="E125" s="28" t="inlineStr">
        <is>
          <t>Quick win</t>
        </is>
      </c>
      <c r="F125" s="28" t="inlineStr">
        <is>
          <t>Open</t>
        </is>
      </c>
      <c r="G125" s="28" t="inlineStr">
        <is>
          <t>As reported</t>
        </is>
      </c>
      <c r="H125" s="28" t="n"/>
    </row>
    <row r="126" ht="15" customHeight="1" s="25">
      <c r="A126" s="27" t="inlineStr">
        <is>
          <t>PERF-S7</t>
        </is>
      </c>
      <c r="B126" s="28" t="inlineStr">
        <is>
          <t>Perf &amp; Architecture</t>
        </is>
      </c>
      <c r="C126" s="28" t="inlineStr">
        <is>
          <t>No HTTP compression anywhere in the stack</t>
        </is>
      </c>
      <c r="D126" s="32" t="inlineStr">
        <is>
          <t>High</t>
        </is>
      </c>
      <c r="E126" s="28" t="inlineStr">
        <is>
          <t>Quick win</t>
        </is>
      </c>
      <c r="F126" s="28" t="inlineStr">
        <is>
          <t>Fixed</t>
        </is>
      </c>
      <c r="G126" s="28" t="inlineStr">
        <is>
          <t>Verified</t>
        </is>
      </c>
      <c r="H126" s="28" t="inlineStr">
        <is>
          <t>`compression` was a declared dependency mounted nowhere, and no proxy-level compression is documented either. Mounted before routes and static so it covers both JSON responses and the 1,318 KB of SPA assets, with the standard x-no-compression opt-out (and a note for whoever adds SSE later, since buffering breaks event streams). Proven end-to-end against a real Express server: content-encoding: gzip on a list response, absent when the opt-out header is sent. On a representative 50-row list payload the reduction measured 95.9% (14,859 -&gt; 606 bytes); the audit measured 86.8% on its own sample.</t>
        </is>
      </c>
    </row>
    <row r="127" ht="15" customHeight="1" s="25">
      <c r="A127" s="27" t="inlineStr">
        <is>
          <t>PERF-S8</t>
        </is>
      </c>
      <c r="B127" s="28" t="inlineStr">
        <is>
          <t>Perf &amp; Architecture</t>
        </is>
      </c>
      <c r="C127" s="28" t="inlineStr">
        <is>
          <t>The entire frontend loads on first paint; code splitting is cosmetic</t>
        </is>
      </c>
      <c r="D127" s="32" t="inlineStr">
        <is>
          <t>High</t>
        </is>
      </c>
      <c r="E127" s="28" t="inlineStr">
        <is>
          <t>Quick win</t>
        </is>
      </c>
      <c r="F127" s="28" t="inlineStr">
        <is>
          <t>Open</t>
        </is>
      </c>
      <c r="G127" s="28" t="inlineStr">
        <is>
          <t>As reported</t>
        </is>
      </c>
      <c r="H127" s="28" t="n"/>
    </row>
    <row r="128" ht="15" customHeight="1" s="25">
      <c r="A128" s="27" t="inlineStr">
        <is>
          <t>PERF-S9</t>
        </is>
      </c>
      <c r="B128" s="28" t="inlineStr">
        <is>
          <t>Perf &amp; Architecture</t>
        </is>
      </c>
      <c r="C128" s="28" t="inlineStr">
        <is>
          <t>invalidateGrants() blocks Redis and flushes every tenant</t>
        </is>
      </c>
      <c r="D128" s="32" t="inlineStr">
        <is>
          <t>High</t>
        </is>
      </c>
      <c r="E128" s="28" t="inlineStr">
        <is>
          <t>Quick win</t>
        </is>
      </c>
      <c r="F128" s="28" t="inlineStr">
        <is>
          <t>Fixed</t>
        </is>
      </c>
      <c r="G128" s="28" t="inlineStr">
        <is>
          <t>Verified</t>
        </is>
      </c>
      <c r="H128" s="28" t="inlineStr">
        <is>
          <t>Two changes. Keys are tenant-namespaced (identity:&lt;tenant&gt;:grants:...) from the AsyncLocalStorage context, so one tenant's permission edit no longer flushes the RBAC cache for every tenant on the deployment; background work with no tenant lands under `_`. And KEYS - O(N) over the whole keyspace, blocking the main thread that also serves BullMQ, sessions and rate limiting - is replaced by cursor-based SCAN with batched DEL, because swapping a blocking KEYS for a blocking 50k-argument DEL would have fixed nothing. invalidateGrants({allTenants:true}) still exists for a genuine platform-level change and must be asked for. Proven on a command-recording fake: one tenant's invalidation issues SCAN (never KEYS), clears its own 4 grant keys, leaves the other 8 across two tenants intact, and leaves its own auth key alone.</t>
        </is>
      </c>
    </row>
    <row r="129" ht="15" customHeight="1" s="25">
      <c r="A129" s="27" t="inlineStr">
        <is>
          <t>PERF-S10</t>
        </is>
      </c>
      <c r="B129" s="28" t="inlineStr">
        <is>
          <t>Perf &amp; Architecture</t>
        </is>
      </c>
      <c r="C129" s="28" t="inlineStr">
        <is>
          <t>hostCache is unbounded and keyed by attacker-controlled input</t>
        </is>
      </c>
      <c r="D129" s="32" t="inlineStr">
        <is>
          <t>High</t>
        </is>
      </c>
      <c r="E129" s="28" t="inlineStr">
        <is>
          <t>Quick win</t>
        </is>
      </c>
      <c r="F129" s="28" t="inlineStr">
        <is>
          <t>Fixed</t>
        </is>
      </c>
      <c r="G129" s="28" t="inlineStr">
        <is>
          <t>Verified</t>
        </is>
      </c>
      <c r="H129" s="28" t="inlineStr">
        <is>
          <t>hostCache is keyed by the Host header - attacker-controlled - and was never evicted, so every junk host allocated a permanent entry plus one platform-DB query. Now capped (HOST_CACHE_MAX, default 5000) with expiry sweep + LRU eviction, and a MISS caches for 10s rather than 60s because an unresolved host is far more likely to be a scanner. Negative caching is kept deliberately - it is what stops the repeat query. Proven: 500 distinct junk hosts leave the cache at exactly 100 of a cap of 100; 50 repeats of one junk host cost 0 queries; a real host still resolves once. Occupancy exposed on /api/health/ready so the bound is observable.</t>
        </is>
      </c>
    </row>
    <row r="130" ht="15" customHeight="1" s="25">
      <c r="A130" s="27" t="inlineStr">
        <is>
          <t>PERF-S11</t>
        </is>
      </c>
      <c r="B130" s="28" t="inlineStr">
        <is>
          <t>Perf &amp; Architecture</t>
        </is>
      </c>
      <c r="C130" s="28" t="inlineStr">
        <is>
          <t>13 BullMQ workers share a single Redis connection</t>
        </is>
      </c>
      <c r="D130" s="32" t="inlineStr">
        <is>
          <t>High</t>
        </is>
      </c>
      <c r="E130" s="28" t="inlineStr">
        <is>
          <t>Structural</t>
        </is>
      </c>
      <c r="F130" s="28" t="inlineStr">
        <is>
          <t>Fixed</t>
        </is>
      </c>
      <c r="G130" s="28" t="inlineStr">
        <is>
          <t>Verified</t>
        </is>
      </c>
      <c r="H130" s="28" t="inlineStr">
        <is>
          <t>All 13 BullMQ workers were handed getClient(), the single shared ioredis client. Workers block on BZPOPMIN/BRPOPLPUSH, so they serialised against each other AND stalled the identity cache and rate limiter sharing that socket. config/redis now exports createConnection(label), which builds a dedicated connection, wires its error/connect logging and tracks it so closeRedis shuts it down; workers.js takes one per worker instead of hoisting the shared client.</t>
        </is>
      </c>
    </row>
    <row r="131" ht="15" customHeight="1" s="25">
      <c r="A131" s="27" t="inlineStr">
        <is>
          <t>PERF-S12</t>
        </is>
      </c>
      <c r="B131" s="28" t="inlineStr">
        <is>
          <t>Perf &amp; Architecture</t>
        </is>
      </c>
      <c r="C131" s="28" t="inlineStr">
        <is>
          <t>Socket.IO has no Redis adapter - realtime is single-process only</t>
        </is>
      </c>
      <c r="D131" s="32" t="inlineStr">
        <is>
          <t>High</t>
        </is>
      </c>
      <c r="E131" s="28" t="inlineStr">
        <is>
          <t>Structural</t>
        </is>
      </c>
      <c r="F131" s="28" t="inlineStr">
        <is>
          <t>Fixed</t>
        </is>
      </c>
      <c r="G131" s="28" t="inlineStr">
        <is>
          <t>Verified</t>
        </is>
      </c>
      <c r="H131" s="28" t="inlineStr">
        <is>
          <t>config/redis documents 'Pub/Sub coordination across Socket.io workers (redis adapter)' and creates the publisher/subscriber pair; no adapter was ever attached, so io.to(room).emit() reached only sockets on the same Node process. Invisible on one replica, a silent correctness failure on two - and the PERF S1 fix makes more replicas the answer to the tenant ceiling, so relieving one problem would have created this one. createAdapter attached with DEDICATED connections (a subscriber-mode socket can issue nothing but SUBSCRIBE, so the shared client would break every other user of it). @socket.io/redis-adapter added to package.json. Degrades with a loud warning rather than failing to start if the package is missing.</t>
        </is>
      </c>
    </row>
    <row r="132" ht="15" customHeight="1" s="25">
      <c r="A132" s="27" t="inlineStr">
        <is>
          <t>PERF-S13</t>
        </is>
      </c>
      <c r="B132" s="28" t="inlineStr">
        <is>
          <t>Perf &amp; Architecture</t>
        </is>
      </c>
      <c r="C132" s="28" t="inlineStr">
        <is>
          <t>A full Chromium process is spawned per PDF</t>
        </is>
      </c>
      <c r="D132" s="33" t="inlineStr">
        <is>
          <t>Medium</t>
        </is>
      </c>
      <c r="E132" s="28" t="inlineStr">
        <is>
          <t>Structural</t>
        </is>
      </c>
      <c r="F132" s="28" t="inlineStr">
        <is>
          <t>Open</t>
        </is>
      </c>
      <c r="G132" s="28" t="inlineStr">
        <is>
          <t>As reported</t>
        </is>
      </c>
      <c r="H132" s="28" t="n"/>
    </row>
    <row r="133" ht="15" customHeight="1" s="25">
      <c r="A133" s="27" t="inlineStr">
        <is>
          <t>PERF-S14</t>
        </is>
      </c>
      <c r="B133" s="28" t="inlineStr">
        <is>
          <t>Perf &amp; Architecture</t>
        </is>
      </c>
      <c r="C133" s="28" t="inlineStr">
        <is>
          <t>Context providers defeat memoization app-wide</t>
        </is>
      </c>
      <c r="D133" s="33" t="inlineStr">
        <is>
          <t>Medium</t>
        </is>
      </c>
      <c r="E133" s="28" t="inlineStr">
        <is>
          <t>Quick win</t>
        </is>
      </c>
      <c r="F133" s="28" t="inlineStr">
        <is>
          <t>Open</t>
        </is>
      </c>
      <c r="G133" s="28" t="inlineStr">
        <is>
          <t>As reported</t>
        </is>
      </c>
      <c r="H133" s="28" t="n"/>
    </row>
    <row r="134" ht="15" customHeight="1" s="25">
      <c r="A134" s="27" t="inlineStr">
        <is>
          <t>PERF-S15</t>
        </is>
      </c>
      <c r="B134" s="28" t="inlineStr">
        <is>
          <t>Perf &amp; Architecture</t>
        </is>
      </c>
      <c r="C134" s="28" t="inlineStr">
        <is>
          <t>No client-side request cache; unconditional refetch and background polling</t>
        </is>
      </c>
      <c r="D134" s="33" t="inlineStr">
        <is>
          <t>Medium</t>
        </is>
      </c>
      <c r="E134" s="28" t="inlineStr">
        <is>
          <t>Quick win</t>
        </is>
      </c>
      <c r="F134" s="28" t="inlineStr">
        <is>
          <t>Open</t>
        </is>
      </c>
      <c r="G134" s="28" t="inlineStr">
        <is>
          <t>As reported</t>
        </is>
      </c>
      <c r="H134" s="28" t="n"/>
    </row>
    <row r="135" ht="15" customHeight="1" s="25">
      <c r="A135" s="27" t="inlineStr">
        <is>
          <t>PERF-S16</t>
        </is>
      </c>
      <c r="B135" s="28" t="inlineStr">
        <is>
          <t>Perf &amp; Architecture</t>
        </is>
      </c>
      <c r="C135" s="28" t="inlineStr">
        <is>
          <t>Leading-wildcard ILIKE search guarantees a full scan</t>
        </is>
      </c>
      <c r="D135" s="33" t="inlineStr">
        <is>
          <t>Medium</t>
        </is>
      </c>
      <c r="E135" s="28" t="inlineStr">
        <is>
          <t>Quick win</t>
        </is>
      </c>
      <c r="F135" s="28" t="inlineStr">
        <is>
          <t>Open</t>
        </is>
      </c>
      <c r="G135" s="28" t="inlineStr">
        <is>
          <t>As reported</t>
        </is>
      </c>
      <c r="H135" s="28" t="n"/>
    </row>
    <row r="136" ht="15" customHeight="1" s="25">
      <c r="A136" s="27" t="inlineStr">
        <is>
          <t>PERF-S17</t>
        </is>
      </c>
      <c r="B136" s="28" t="inlineStr">
        <is>
          <t>Perf &amp; Architecture</t>
        </is>
      </c>
      <c r="C136" s="28" t="inlineStr">
        <is>
          <t>OFFSET pagination degrades and spills to disk</t>
        </is>
      </c>
      <c r="D136" s="33" t="inlineStr">
        <is>
          <t>Medium</t>
        </is>
      </c>
      <c r="E136" s="28" t="inlineStr">
        <is>
          <t>Structural (BC)</t>
        </is>
      </c>
      <c r="F136" s="28" t="inlineStr">
        <is>
          <t>Open</t>
        </is>
      </c>
      <c r="G136" s="28" t="inlineStr">
        <is>
          <t>As reported</t>
        </is>
      </c>
      <c r="H136" s="28" t="n"/>
    </row>
    <row r="137" ht="15" customHeight="1" s="25">
      <c r="A137" s="27" t="inlineStr">
        <is>
          <t>PERF-S18</t>
        </is>
      </c>
      <c r="B137" s="28" t="inlineStr">
        <is>
          <t>Perf &amp; Architecture</t>
        </is>
      </c>
      <c r="C137" s="28" t="inlineStr">
        <is>
          <t>No global rate limiting - noisy-neighbour risk across tenants</t>
        </is>
      </c>
      <c r="D137" s="33" t="inlineStr">
        <is>
          <t>Medium</t>
        </is>
      </c>
      <c r="E137" s="28" t="inlineStr">
        <is>
          <t>Quick win</t>
        </is>
      </c>
      <c r="F137" s="28" t="inlineStr">
        <is>
          <t>Open</t>
        </is>
      </c>
      <c r="G137" s="28" t="inlineStr">
        <is>
          <t>As reported</t>
        </is>
      </c>
      <c r="H137" s="28" t="n"/>
    </row>
    <row r="138" ht="15" customHeight="1" s="25">
      <c r="A138" s="27" t="inlineStr">
        <is>
          <t>PERF-S19</t>
        </is>
      </c>
      <c r="B138" s="28" t="inlineStr">
        <is>
          <t>Perf &amp; Architecture</t>
        </is>
      </c>
      <c r="C138" s="28" t="inlineStr">
        <is>
          <t>50 repos hand-roll an SQL builder that already exists</t>
        </is>
      </c>
      <c r="D138" s="34" t="inlineStr">
        <is>
          <t>Low</t>
        </is>
      </c>
      <c r="E138" s="28" t="inlineStr">
        <is>
          <t>Quick win</t>
        </is>
      </c>
      <c r="F138" s="28" t="inlineStr">
        <is>
          <t>Open</t>
        </is>
      </c>
      <c r="G138" s="28" t="inlineStr">
        <is>
          <t>As reported</t>
        </is>
      </c>
      <c r="H138" s="28" t="n"/>
    </row>
    <row r="139" ht="15" customHeight="1" s="25">
      <c r="A139" s="27" t="inlineStr">
        <is>
          <t>PERF-S20</t>
        </is>
      </c>
      <c r="B139" s="28" t="inlineStr">
        <is>
          <t>Perf &amp; Architecture</t>
        </is>
      </c>
      <c r="C139" s="28" t="inlineStr">
        <is>
          <t>SQL identifiers are interpolated from object keys with no enforcement</t>
        </is>
      </c>
      <c r="D139" s="34" t="inlineStr">
        <is>
          <t>Low</t>
        </is>
      </c>
      <c r="E139" s="28" t="inlineStr">
        <is>
          <t>Structural</t>
        </is>
      </c>
      <c r="F139" s="28" t="inlineStr">
        <is>
          <t>Open</t>
        </is>
      </c>
      <c r="G139" s="28" t="inlineStr">
        <is>
          <t>As reported</t>
        </is>
      </c>
      <c r="H139" s="28" t="n"/>
    </row>
    <row r="140" ht="15" customHeight="1" s="25">
      <c r="A140" s="27" t="inlineStr">
        <is>
          <t>TC-C1</t>
        </is>
      </c>
      <c r="B140" s="28" t="inlineStr">
        <is>
          <t>Test &amp; CI/CD</t>
        </is>
      </c>
      <c r="C140" s="28" t="inlineStr">
        <is>
          <t>Multi-tenant isolation (registry.service.js) - 0 of 10 functions covered</t>
        </is>
      </c>
      <c r="D140" s="29" t="inlineStr">
        <is>
          <t>Critical</t>
        </is>
      </c>
      <c r="E140" s="28" t="inlineStr">
        <is>
          <t>Deeper</t>
        </is>
      </c>
      <c r="F140" s="28" t="inlineStr">
        <is>
          <t>Fixed</t>
        </is>
      </c>
      <c r="G140" s="28" t="inlineStr">
        <is>
          <t>Verified</t>
        </is>
      </c>
      <c r="H140" s="28" t="inlineStr">
        <is>
          <t>tests/unit/tenant-registry.test.js — 15 assertions on the tenant boundary itself, stated as things that must never happen: two tenants never share a pool; a connection is never handed out on the wrong schema; a cached host never resolves to another tenant's metadata; an unbounded input never grows an unbounded cache; LRU never evicts the most recently used pool. pg is faked, and the fake RECYCLES released clients like a real pool — the first version minted a fresh client every time, which made the search_path re-bind test pass for the wrong reason (a new client already carries the pool's startup schema and needs no SET). Also asserts the connection is released when the caller's function throws.</t>
        </is>
      </c>
    </row>
    <row r="141" ht="15" customHeight="1" s="25">
      <c r="A141" s="27" t="inlineStr">
        <is>
          <t>TC-C2</t>
        </is>
      </c>
      <c r="B141" s="28" t="inlineStr">
        <is>
          <t>Test &amp; CI/CD</t>
        </is>
      </c>
      <c r="C141" s="28" t="inlineStr">
        <is>
          <t>authMiddleware() uncovered; the patched token-replay fix has no regression test</t>
        </is>
      </c>
      <c r="D141" s="29" t="inlineStr">
        <is>
          <t>Critical</t>
        </is>
      </c>
      <c r="E141" s="28" t="inlineStr">
        <is>
          <t>Quick</t>
        </is>
      </c>
      <c r="F141" s="28" t="inlineStr">
        <is>
          <t>Fixed</t>
        </is>
      </c>
      <c r="G141" s="28" t="inlineStr">
        <is>
          <t>Verified</t>
        </is>
      </c>
      <c r="H141" s="28" t="inlineStr">
        <is>
          <t>tests/unit/auth-middleware.test.js — 17 assertions. The replay regression is the point: refresh and 2fa_pending tokens are signed with the SAME secret as access tokens, so without the typ check either could be presented as a bearer token — a 2fa_pending replay skips the second factor entirely. Tokens are signed with the real jsonwebtoken and the real configured secret, because the thing under test is whether a genuinely valid signature of the wrong TYPE is refused; a stubbed verifier would prove nothing. Also covers deny-by-default on unknown types, the legacy no-typ token still working (or the fix logs out every signed-in user on deploy), TOKEN_EXPIRED vs INVALID_TOKEN being distinguishable (the client refresh flow keys on it), the 500 when tenantContext has not run, OBS-L3 context backfill, SEC-C2 sid, and that no hash or secret reaches req.user.</t>
        </is>
      </c>
    </row>
    <row r="142" ht="15" customHeight="1" s="25">
      <c r="A142" s="27" t="inlineStr">
        <is>
          <t>TC-C3</t>
        </is>
      </c>
      <c r="B142" s="28" t="inlineStr">
        <is>
          <t>Test &amp; CI/CD</t>
        </is>
      </c>
      <c r="C142" s="28" t="inlineStr">
        <is>
          <t>rbacCheck() and ceoCheck() uncovered - enforcement paths never run in a test</t>
        </is>
      </c>
      <c r="D142" s="29" t="inlineStr">
        <is>
          <t>Critical</t>
        </is>
      </c>
      <c r="E142" s="28" t="inlineStr">
        <is>
          <t>Quick</t>
        </is>
      </c>
      <c r="F142" s="28" t="inlineStr">
        <is>
          <t>Fixed</t>
        </is>
      </c>
      <c r="G142" s="28" t="inlineStr">
        <is>
          <t>Verified</t>
        </is>
      </c>
      <c r="H142" s="28" t="inlineStr">
        <is>
          <t>tests/unit/rbac-enforcement.test.js — 32 assertions across requirePermission, requireCapability and requireCeo. Every action-&gt;column pairing is asserted individually, including the deliberate aliases export-&gt;can_read and publish-&gt;can_update, because a refactor that tidies the map by dropping an alias turns a gated export route into an ungated one and nothing else would notice. Also asserts action-authz.js (the AI path, SEC H1) carries an IDENTICAL map, so the two cannot drift into enforcing different rules. FOUND A REAL BUG: requireCeo used `!req.user.is_ceo` and requirePermission used `if (req.user.is_ceo)`, so a truthy non-boolean passed the God Mode gate. All three CEO checks tightened to === true, matching how grants are already compared.</t>
        </is>
      </c>
    </row>
    <row r="143" ht="15" customHeight="1" s="25">
      <c r="A143" s="27" t="inlineStr">
        <is>
          <t>TC-C4</t>
        </is>
      </c>
      <c r="B143" s="28" t="inlineStr">
        <is>
          <t>Test &amp; CI/CD</t>
        </is>
      </c>
      <c r="C143" s="28" t="inlineStr">
        <is>
          <t>identity-cache.js - 0 of 31 functions; grants, scope closure, invalidation</t>
        </is>
      </c>
      <c r="D143" s="29" t="inlineStr">
        <is>
          <t>Critical</t>
        </is>
      </c>
      <c r="E143" s="28" t="inlineStr">
        <is>
          <t>Deeper</t>
        </is>
      </c>
      <c r="F143" s="28" t="inlineStr">
        <is>
          <t>Fixed</t>
        </is>
      </c>
      <c r="G143" s="28" t="inlineStr">
        <is>
          <t>Verified</t>
        </is>
      </c>
      <c r="H143" s="28" t="inlineStr">
        <is>
          <t>tests/unit/identity-cache.test.js — 23 assertions. Covers the three properties that matter: keys do not collide across tenants (PERF S9), the same role set produces the same key regardless of order or duplicates (a duplicate that produced a second key would let a user keep a revoked grant for the TTL), and Redis being down degrades rather than breaking auth — every path is exercised twice, with and without Redis. Asserts invalidation never issues the blocking KEYS command, that a tenant's invalidation leaves other tenants' keys intact, and that the scope-tree bump is exactly ONE INCR regardless of how many users are cached.</t>
        </is>
      </c>
    </row>
    <row r="144" ht="15" customHeight="1" s="25">
      <c r="A144" s="27" t="inlineStr">
        <is>
          <t>TC-D1</t>
        </is>
      </c>
      <c r="B144" s="28" t="inlineStr">
        <is>
          <t>Test &amp; CI/CD</t>
        </is>
      </c>
      <c r="C144" s="28" t="inlineStr">
        <is>
          <t>No rollback; docker image prune -f destroys the previous build</t>
        </is>
      </c>
      <c r="D144" s="29" t="inlineStr">
        <is>
          <t>Critical</t>
        </is>
      </c>
      <c r="E144" s="28" t="inlineStr">
        <is>
          <t>Deeper</t>
        </is>
      </c>
      <c r="F144" s="30" t="inlineStr">
        <is>
          <t>Fixed</t>
        </is>
      </c>
      <c r="G144" s="31" t="inlineStr">
        <is>
          <t>Verified in code</t>
        </is>
      </c>
      <c r="H144" s="28" t="inlineStr">
        <is>
          <t>docker image prune no longer destroys the previous build; KEEP_IMAGES deep.</t>
        </is>
      </c>
    </row>
    <row r="145" ht="15" customHeight="1" s="25">
      <c r="A145" s="27" t="inlineStr">
        <is>
          <t>TC-D2</t>
        </is>
      </c>
      <c r="B145" s="28" t="inlineStr">
        <is>
          <t>Test &amp; CI/CD</t>
        </is>
      </c>
      <c r="C145" s="28" t="inlineStr">
        <is>
          <t>Migrations run pre-roll, no backup, zero down-migrations</t>
        </is>
      </c>
      <c r="D145" s="29" t="inlineStr">
        <is>
          <t>Critical</t>
        </is>
      </c>
      <c r="E145" s="28" t="inlineStr">
        <is>
          <t>Quick / process</t>
        </is>
      </c>
      <c r="F145" s="30" t="inlineStr">
        <is>
          <t>Fixed</t>
        </is>
      </c>
      <c r="G145" s="31" t="inlineStr">
        <is>
          <t>Verified in code</t>
        </is>
      </c>
      <c r="H145" s="28" t="inlineStr">
        <is>
          <t>pg_dump before migrations, fatal if it fails; reversibility convention + CI gate for new migrations.</t>
        </is>
      </c>
    </row>
    <row r="146" ht="15" customHeight="1" s="25">
      <c r="A146" s="27" t="inlineStr">
        <is>
          <t>TC-CI1</t>
        </is>
      </c>
      <c r="B146" s="28" t="inlineStr">
        <is>
          <t>Test &amp; CI/CD</t>
        </is>
      </c>
      <c r="C146" s="28" t="inlineStr">
        <is>
          <t>main is unprotected; 45% direct pushes; each green push auto-deploys</t>
        </is>
      </c>
      <c r="D146" s="29" t="inlineStr">
        <is>
          <t>Critical</t>
        </is>
      </c>
      <c r="E146" s="28" t="inlineStr">
        <is>
          <t>Quick / process</t>
        </is>
      </c>
      <c r="F146" s="28" t="inlineStr">
        <is>
          <t>Partially fixed</t>
        </is>
      </c>
      <c r="G146" s="28" t="inlineStr">
        <is>
          <t>Owner action outstanding</t>
        </is>
      </c>
      <c r="H146" s="28" t="inlineStr">
        <is>
          <t>The code half is done: .github/workflows/deploy.yaml now REFUSES to deploy a commit that reached main without a pull request, checked via the commits/:sha/pulls API, with workflow_dispatch left as the deliberate manual escape hatch so an emergency deploy records who chose it. A direct push is stopped rather than reported, because a warning about a deploy that already happened is not a control. THE SETTINGS HALF IS STILL OWNER ACTION — branch protection on main is a GitHub UI change and cannot be done from the repository; doc/BRANCH_PROTECTION.md has the exact settings. Left as Partially fixed rather than Fixed for that reason.</t>
        </is>
      </c>
    </row>
    <row r="147" ht="15" customHeight="1" s="25">
      <c r="A147" s="27" t="inlineStr">
        <is>
          <t>TC-C5</t>
        </is>
      </c>
      <c r="B147" s="28" t="inlineStr">
        <is>
          <t>Test &amp; CI/CD</t>
        </is>
      </c>
      <c r="C147" s="28" t="inlineStr">
        <is>
          <t>Money services 0% function coverage; only the rules layer is tested</t>
        </is>
      </c>
      <c r="D147" s="32" t="inlineStr">
        <is>
          <t>High</t>
        </is>
      </c>
      <c r="E147" s="28" t="inlineStr">
        <is>
          <t>Deeper</t>
        </is>
      </c>
      <c r="F147" s="28" t="inlineStr">
        <is>
          <t>Open</t>
        </is>
      </c>
      <c r="G147" s="28" t="inlineStr">
        <is>
          <t>As reported</t>
        </is>
      </c>
      <c r="H147" s="28" t="n"/>
    </row>
    <row r="148" ht="15" customHeight="1" s="25">
      <c r="A148" s="27" t="inlineStr">
        <is>
          <t>TC-C6</t>
        </is>
      </c>
      <c r="B148" s="28" t="inlineStr">
        <is>
          <t>Test &amp; CI/CD</t>
        </is>
      </c>
      <c r="C148" s="28" t="inlineStr">
        <is>
          <t>All 4 integration suites permanently skipped - 11 tests dark in CI</t>
        </is>
      </c>
      <c r="D148" s="32" t="inlineStr">
        <is>
          <t>High</t>
        </is>
      </c>
      <c r="E148" s="28" t="inlineStr">
        <is>
          <t>Deeper</t>
        </is>
      </c>
      <c r="F148" s="28" t="inlineStr">
        <is>
          <t>Open</t>
        </is>
      </c>
      <c r="G148" s="28" t="inlineStr">
        <is>
          <t>As reported</t>
        </is>
      </c>
      <c r="H148" s="28" t="n"/>
    </row>
    <row r="149" ht="15" customHeight="1" s="25">
      <c r="A149" s="27" t="inlineStr">
        <is>
          <t>TC-C7</t>
        </is>
      </c>
      <c r="B149" s="28" t="inlineStr">
        <is>
          <t>Test &amp; CI/CD</t>
        </is>
      </c>
      <c r="C149" s="28" t="inlineStr">
        <is>
          <t>WMS/inventory 7.3% functions - no unit or integration coverage</t>
        </is>
      </c>
      <c r="D149" s="32" t="inlineStr">
        <is>
          <t>High</t>
        </is>
      </c>
      <c r="E149" s="28" t="inlineStr">
        <is>
          <t>Deeper</t>
        </is>
      </c>
      <c r="F149" s="28" t="inlineStr">
        <is>
          <t>Open</t>
        </is>
      </c>
      <c r="G149" s="28" t="inlineStr">
        <is>
          <t>As reported</t>
        </is>
      </c>
      <c r="H149" s="28" t="n"/>
    </row>
    <row r="150" ht="15" customHeight="1" s="25">
      <c r="A150" s="27" t="inlineStr">
        <is>
          <t>TC-C8</t>
        </is>
      </c>
      <c r="B150" s="28" t="inlineStr">
        <is>
          <t>Test &amp; CI/CD</t>
        </is>
      </c>
      <c r="C150" s="28" t="inlineStr">
        <is>
          <t>Orchestration outbox 0% - at-least-once idempotency unverified</t>
        </is>
      </c>
      <c r="D150" s="32" t="inlineStr">
        <is>
          <t>High</t>
        </is>
      </c>
      <c r="E150" s="28" t="inlineStr">
        <is>
          <t>Deeper</t>
        </is>
      </c>
      <c r="F150" s="28" t="inlineStr">
        <is>
          <t>Open</t>
        </is>
      </c>
      <c r="G150" s="28" t="inlineStr">
        <is>
          <t>As reported</t>
        </is>
      </c>
      <c r="H150" s="28" t="n"/>
    </row>
    <row r="151" ht="15" customHeight="1" s="25">
      <c r="A151" s="27" t="inlineStr">
        <is>
          <t>TC-C9</t>
        </is>
      </c>
      <c r="B151" s="28" t="inlineStr">
        <is>
          <t>Test &amp; CI/CD</t>
        </is>
      </c>
      <c r="C151" s="28" t="inlineStr">
        <is>
          <t>Platform / tenant-provisioning surface 0%</t>
        </is>
      </c>
      <c r="D151" s="32" t="inlineStr">
        <is>
          <t>High</t>
        </is>
      </c>
      <c r="E151" s="28" t="inlineStr">
        <is>
          <t>Deeper</t>
        </is>
      </c>
      <c r="F151" s="28" t="inlineStr">
        <is>
          <t>Open</t>
        </is>
      </c>
      <c r="G151" s="28" t="inlineStr">
        <is>
          <t>As reported</t>
        </is>
      </c>
      <c r="H151" s="28" t="n"/>
    </row>
    <row r="152" ht="15" customHeight="1" s="25">
      <c r="A152" s="27" t="inlineStr">
        <is>
          <t>TC-C10</t>
        </is>
      </c>
      <c r="B152" s="28" t="inlineStr">
        <is>
          <t>Test &amp; CI/CD</t>
        </is>
      </c>
      <c r="C152" s="28" t="inlineStr">
        <is>
          <t>Portal auth (external, customer-facing) 3.2% functions</t>
        </is>
      </c>
      <c r="D152" s="32" t="inlineStr">
        <is>
          <t>High</t>
        </is>
      </c>
      <c r="E152" s="28" t="inlineStr">
        <is>
          <t>Quick / deeper</t>
        </is>
      </c>
      <c r="F152" s="28" t="inlineStr">
        <is>
          <t>Open</t>
        </is>
      </c>
      <c r="G152" s="28" t="inlineStr">
        <is>
          <t>As reported</t>
        </is>
      </c>
      <c r="H152" s="28" t="n"/>
    </row>
    <row r="153" ht="15" customHeight="1" s="25">
      <c r="A153" s="27" t="inlineStr">
        <is>
          <t>TC-C12</t>
        </is>
      </c>
      <c r="B153" s="28" t="inlineStr">
        <is>
          <t>Test &amp; CI/CD</t>
        </is>
      </c>
      <c r="C153" s="28" t="inlineStr">
        <is>
          <t>No API-level or E2E test; the middleware chain never runs as a chain</t>
        </is>
      </c>
      <c r="D153" s="32" t="inlineStr">
        <is>
          <t>High</t>
        </is>
      </c>
      <c r="E153" s="28" t="inlineStr">
        <is>
          <t>Deeper</t>
        </is>
      </c>
      <c r="F153" s="28" t="inlineStr">
        <is>
          <t>Open</t>
        </is>
      </c>
      <c r="G153" s="28" t="inlineStr">
        <is>
          <t>As reported</t>
        </is>
      </c>
      <c r="H153" s="28" t="n"/>
    </row>
    <row r="154" ht="15" customHeight="1" s="25">
      <c r="A154" s="27" t="inlineStr">
        <is>
          <t>TC-Q2</t>
        </is>
      </c>
      <c r="B154" s="28" t="inlineStr">
        <is>
          <t>Test &amp; CI/CD</t>
        </is>
      </c>
      <c r="C154" s="28" t="inlineStr">
        <is>
          <t>refresh() untested; only its extracted predicate is</t>
        </is>
      </c>
      <c r="D154" s="32" t="inlineStr">
        <is>
          <t>High</t>
        </is>
      </c>
      <c r="E154" s="28" t="inlineStr">
        <is>
          <t>Quick</t>
        </is>
      </c>
      <c r="F154" s="28" t="inlineStr">
        <is>
          <t>Open</t>
        </is>
      </c>
      <c r="G154" s="28" t="inlineStr">
        <is>
          <t>As reported</t>
        </is>
      </c>
      <c r="H154" s="28" t="n"/>
    </row>
    <row r="155" ht="15" customHeight="1" s="25">
      <c r="A155" s="27" t="inlineStr">
        <is>
          <t>TC-Q4</t>
        </is>
      </c>
      <c r="B155" s="28" t="inlineStr">
        <is>
          <t>Test &amp; CI/CD</t>
        </is>
      </c>
      <c r="C155" s="28" t="inlineStr">
        <is>
          <t>The money-path test mocks away determination and GL posting</t>
        </is>
      </c>
      <c r="D155" s="32" t="inlineStr">
        <is>
          <t>High</t>
        </is>
      </c>
      <c r="E155" s="28" t="inlineStr">
        <is>
          <t>Deeper</t>
        </is>
      </c>
      <c r="F155" s="28" t="inlineStr">
        <is>
          <t>Open</t>
        </is>
      </c>
      <c r="G155" s="28" t="inlineStr">
        <is>
          <t>As reported</t>
        </is>
      </c>
      <c r="H155" s="28" t="n"/>
    </row>
    <row r="156" ht="15" customHeight="1" s="25">
      <c r="A156" s="27" t="inlineStr">
        <is>
          <t>TC-CI6</t>
        </is>
      </c>
      <c r="B156" s="28" t="inlineStr">
        <is>
          <t>Test &amp; CI/CD</t>
        </is>
      </c>
      <c r="C156" s="28" t="inlineStr">
        <is>
          <t>Migrations are never executed in CI; the first run is production</t>
        </is>
      </c>
      <c r="D156" s="32" t="inlineStr">
        <is>
          <t>High</t>
        </is>
      </c>
      <c r="E156" s="28" t="inlineStr">
        <is>
          <t>Deeper</t>
        </is>
      </c>
      <c r="F156" s="28" t="inlineStr">
        <is>
          <t>Open</t>
        </is>
      </c>
      <c r="G156" s="28" t="inlineStr">
        <is>
          <t>As reported</t>
        </is>
      </c>
      <c r="H156" s="28" t="n"/>
    </row>
    <row r="157" ht="15" customHeight="1" s="25">
      <c r="A157" s="27" t="inlineStr">
        <is>
          <t>TC-CI7</t>
        </is>
      </c>
      <c r="B157" s="28" t="inlineStr">
        <is>
          <t>Test &amp; CI/CD</t>
        </is>
      </c>
      <c r="C157" s="28" t="inlineStr">
        <is>
          <t>The built image is never started; boot failures reach deploy</t>
        </is>
      </c>
      <c r="D157" s="32" t="inlineStr">
        <is>
          <t>High</t>
        </is>
      </c>
      <c r="E157" s="28" t="inlineStr">
        <is>
          <t>Quick</t>
        </is>
      </c>
      <c r="F157" s="28" t="inlineStr">
        <is>
          <t>Open</t>
        </is>
      </c>
      <c r="G157" s="28" t="inlineStr">
        <is>
          <t>As reported</t>
        </is>
      </c>
      <c r="H157" s="28" t="n"/>
    </row>
    <row r="158" ht="15" customHeight="1" s="25">
      <c r="A158" s="27" t="inlineStr">
        <is>
          <t>TC-CI8</t>
        </is>
      </c>
      <c r="B158" s="28" t="inlineStr">
        <is>
          <t>Test &amp; CI/CD</t>
        </is>
      </c>
      <c r="C158" s="28" t="inlineStr">
        <is>
          <t>npm install not npm ci - CI does not test the dependency tree that gets deployed</t>
        </is>
      </c>
      <c r="D158" s="32" t="inlineStr">
        <is>
          <t>High</t>
        </is>
      </c>
      <c r="E158" s="28" t="inlineStr">
        <is>
          <t>Deeper</t>
        </is>
      </c>
      <c r="F158" s="28" t="inlineStr">
        <is>
          <t>Open</t>
        </is>
      </c>
      <c r="G158" s="28" t="inlineStr">
        <is>
          <t>As reported</t>
        </is>
      </c>
      <c r="H158" s="28" t="n"/>
    </row>
    <row r="159" ht="15" customHeight="1" s="25">
      <c r="A159" s="27" t="inlineStr">
        <is>
          <t>TC-D3</t>
        </is>
      </c>
      <c r="B159" s="28" t="inlineStr">
        <is>
          <t>Test &amp; CI/CD</t>
        </is>
      </c>
      <c r="C159" s="28" t="inlineStr">
        <is>
          <t>migrateAllTenants has no containment; mixed-fleet state on failure</t>
        </is>
      </c>
      <c r="D159" s="32" t="inlineStr">
        <is>
          <t>High</t>
        </is>
      </c>
      <c r="E159" s="28" t="inlineStr">
        <is>
          <t>Deeper</t>
        </is>
      </c>
      <c r="F159" s="28" t="inlineStr">
        <is>
          <t>Open</t>
        </is>
      </c>
      <c r="G159" s="28" t="inlineStr">
        <is>
          <t>As reported</t>
        </is>
      </c>
      <c r="H159" s="28" t="n"/>
    </row>
    <row r="160" ht="15" customHeight="1" s="25">
      <c r="A160" s="27" t="inlineStr">
        <is>
          <t>TC-D4</t>
        </is>
      </c>
      <c r="B160" s="28" t="inlineStr">
        <is>
          <t>Test &amp; CI/CD</t>
        </is>
      </c>
      <c r="C160" s="28" t="inlineStr">
        <is>
          <t>/api/health is shallow; the deploy gate cannot see a dead database</t>
        </is>
      </c>
      <c r="D160" s="32" t="inlineStr">
        <is>
          <t>High</t>
        </is>
      </c>
      <c r="E160" s="28" t="inlineStr">
        <is>
          <t>Quick</t>
        </is>
      </c>
      <c r="F160" s="30" t="inlineStr">
        <is>
          <t>Fixed</t>
        </is>
      </c>
      <c r="G160" s="31" t="inlineStr">
        <is>
          <t>Verified in code</t>
        </is>
      </c>
      <c r="H160" s="28" t="inlineStr">
        <is>
          <t>Deploy gate now targets readiness, not liveness.</t>
        </is>
      </c>
    </row>
    <row r="161" ht="15" customHeight="1" s="25">
      <c r="A161" s="27" t="inlineStr">
        <is>
          <t>TC-D5</t>
        </is>
      </c>
      <c r="B161" s="28" t="inlineStr">
        <is>
          <t>Test &amp; CI/CD</t>
        </is>
      </c>
      <c r="C161" s="28" t="inlineStr">
        <is>
          <t>CI holds a long-lived (likely root) SSH session on production</t>
        </is>
      </c>
      <c r="D161" s="32" t="inlineStr">
        <is>
          <t>High</t>
        </is>
      </c>
      <c r="E161" s="28" t="inlineStr">
        <is>
          <t>Quick / deeper</t>
        </is>
      </c>
      <c r="F161" s="28" t="inlineStr">
        <is>
          <t>Open</t>
        </is>
      </c>
      <c r="G161" s="28" t="inlineStr">
        <is>
          <t>As reported</t>
        </is>
      </c>
      <c r="H161" s="28" t="n"/>
    </row>
    <row r="162" ht="15" customHeight="1" s="25">
      <c r="A162" s="27" t="inlineStr">
        <is>
          <t>TC-D6</t>
        </is>
      </c>
      <c r="B162" s="28" t="inlineStr">
        <is>
          <t>Test &amp; CI/CD</t>
        </is>
      </c>
      <c r="C162" s="28" t="inlineStr">
        <is>
          <t>No pre-production environment for builds (deliberate; the PRD contradicts it)</t>
        </is>
      </c>
      <c r="D162" s="32" t="inlineStr">
        <is>
          <t>High</t>
        </is>
      </c>
      <c r="E162" s="28" t="inlineStr">
        <is>
          <t>Process</t>
        </is>
      </c>
      <c r="F162" s="28" t="inlineStr">
        <is>
          <t>Open</t>
        </is>
      </c>
      <c r="G162" s="28" t="inlineStr">
        <is>
          <t>As reported</t>
        </is>
      </c>
      <c r="H162" s="28" t="n"/>
    </row>
    <row r="163" ht="15" customHeight="1" s="25">
      <c r="A163" s="27" t="inlineStr">
        <is>
          <t>TC-E1</t>
        </is>
      </c>
      <c r="B163" s="28" t="inlineStr">
        <is>
          <t>Test &amp; CI/CD</t>
        </is>
      </c>
      <c r="C163" s="28" t="inlineStr">
        <is>
          <t>Production .env is hand-maintained and validated only at boot, post-migration</t>
        </is>
      </c>
      <c r="D163" s="32" t="inlineStr">
        <is>
          <t>High</t>
        </is>
      </c>
      <c r="E163" s="28" t="inlineStr">
        <is>
          <t>Quick</t>
        </is>
      </c>
      <c r="F163" s="28" t="inlineStr">
        <is>
          <t>Open</t>
        </is>
      </c>
      <c r="G163" s="28" t="inlineStr">
        <is>
          <t>As reported</t>
        </is>
      </c>
      <c r="H163" s="28" t="n"/>
    </row>
    <row r="164" ht="15" customHeight="1" s="25">
      <c r="A164" s="27" t="inlineStr">
        <is>
          <t>TC-R2</t>
        </is>
      </c>
      <c r="B164" s="28" t="inlineStr">
        <is>
          <t>Test &amp; CI/CD</t>
        </is>
      </c>
      <c r="C164" s="28" t="inlineStr">
        <is>
          <t>A running build cannot identify itself</t>
        </is>
      </c>
      <c r="D164" s="32" t="inlineStr">
        <is>
          <t>High</t>
        </is>
      </c>
      <c r="E164" s="28" t="inlineStr">
        <is>
          <t>Quick</t>
        </is>
      </c>
      <c r="F164" s="30" t="inlineStr">
        <is>
          <t>Fixed</t>
        </is>
      </c>
      <c r="G164" s="31" t="inlineStr">
        <is>
          <t>Verified in code</t>
        </is>
      </c>
      <c r="H164" s="28" t="inlineStr">
        <is>
          <t>BUILD_SHA/BUILD_TIME baked into the image, surfaced on both health endpoints.</t>
        </is>
      </c>
    </row>
    <row r="165" ht="15" customHeight="1" s="25">
      <c r="A165" s="27" t="inlineStr">
        <is>
          <t>TC-CI2</t>
        </is>
      </c>
      <c r="B165" s="28" t="inlineStr">
        <is>
          <t>Test &amp; CI/CD</t>
        </is>
      </c>
      <c r="C165" s="28" t="inlineStr">
        <is>
          <t>main is red on 15% of runs; no always-deployable branch</t>
        </is>
      </c>
      <c r="D165" s="32" t="inlineStr">
        <is>
          <t>High</t>
        </is>
      </c>
      <c r="E165" s="28" t="inlineStr">
        <is>
          <t>Quick</t>
        </is>
      </c>
      <c r="F165" s="28" t="inlineStr">
        <is>
          <t>Open</t>
        </is>
      </c>
      <c r="G165" s="28" t="inlineStr">
        <is>
          <t>As reported</t>
        </is>
      </c>
      <c r="H165" s="28" t="n"/>
    </row>
    <row r="166" ht="23.25" customHeight="1" s="25">
      <c r="A166" s="27" t="inlineStr">
        <is>
          <t>TC-C11</t>
        </is>
      </c>
      <c r="B166" s="28" t="inlineStr">
        <is>
          <t>Test &amp; CI/CD</t>
        </is>
      </c>
      <c r="C166" s="28" t="inlineStr">
        <is>
          <t>Frontend suite is presentational only; money, permissions and Live/Test untested; platform-console at zero</t>
        </is>
      </c>
      <c r="D166" s="33" t="inlineStr">
        <is>
          <t>Medium</t>
        </is>
      </c>
      <c r="E166" s="28" t="inlineStr">
        <is>
          <t>Deeper</t>
        </is>
      </c>
      <c r="F166" s="35" t="inlineStr">
        <is>
          <t>Partially addressed</t>
        </is>
      </c>
      <c r="G166" s="31" t="inlineStr">
        <is>
          <t>Verified in code</t>
        </is>
      </c>
      <c r="H166" s="28" t="inlineStr">
        <is>
          <t>Client test files have grown from 3 to 15 since the audit; platform-console still at zero</t>
        </is>
      </c>
    </row>
    <row r="167" ht="15" customHeight="1" s="25">
      <c r="A167" s="27" t="inlineStr">
        <is>
          <t>TC-Q1</t>
        </is>
      </c>
      <c r="B167" s="28" t="inlineStr">
        <is>
          <t>Test &amp; CI/CD</t>
        </is>
      </c>
      <c r="C167" s="28" t="inlineStr">
        <is>
          <t>Coverage inflation - line coverage inflated by import-time execution</t>
        </is>
      </c>
      <c r="D167" s="33" t="inlineStr">
        <is>
          <t>Medium</t>
        </is>
      </c>
      <c r="E167" s="28" t="inlineStr">
        <is>
          <t>Quick</t>
        </is>
      </c>
      <c r="F167" s="28" t="inlineStr">
        <is>
          <t>Open</t>
        </is>
      </c>
      <c r="G167" s="28" t="inlineStr">
        <is>
          <t>As reported</t>
        </is>
      </c>
      <c r="H167" s="28" t="n"/>
    </row>
    <row r="168" ht="15" customHeight="1" s="25">
      <c r="A168" s="27" t="inlineStr">
        <is>
          <t>TC-Q3</t>
        </is>
      </c>
      <c r="B168" s="28" t="inlineStr">
        <is>
          <t>Test &amp; CI/CD</t>
        </is>
      </c>
      <c r="C168" s="28" t="inlineStr">
        <is>
          <t>Hand-rolled regex SQL fakes silently absorb query changes</t>
        </is>
      </c>
      <c r="D168" s="33" t="inlineStr">
        <is>
          <t>Medium</t>
        </is>
      </c>
      <c r="E168" s="28" t="inlineStr">
        <is>
          <t>Deeper</t>
        </is>
      </c>
      <c r="F168" s="28" t="inlineStr">
        <is>
          <t>Open</t>
        </is>
      </c>
      <c r="G168" s="28" t="inlineStr">
        <is>
          <t>As reported</t>
        </is>
      </c>
      <c r="H168" s="28" t="n"/>
    </row>
    <row r="169" ht="15" customHeight="1" s="25">
      <c r="A169" s="27" t="inlineStr">
        <is>
          <t>TC-Q6</t>
        </is>
      </c>
      <c r="B169" s="28" t="inlineStr">
        <is>
          <t>Test &amp; CI/CD</t>
        </is>
      </c>
      <c r="C169" s="28" t="inlineStr">
        <is>
          <t>auth-coverage matches by function name; floor of 50 vs 100 modules</t>
        </is>
      </c>
      <c r="D169" s="33" t="inlineStr">
        <is>
          <t>Medium</t>
        </is>
      </c>
      <c r="E169" s="28" t="inlineStr">
        <is>
          <t>Quick</t>
        </is>
      </c>
      <c r="F169" s="28" t="inlineStr">
        <is>
          <t>Open</t>
        </is>
      </c>
      <c r="G169" s="28" t="inlineStr">
        <is>
          <t>As reported</t>
        </is>
      </c>
      <c r="H169" s="28" t="n"/>
    </row>
    <row r="170" ht="15" customHeight="1" s="25">
      <c r="A170" s="27" t="inlineStr">
        <is>
          <t>TC-CI3</t>
        </is>
      </c>
      <c r="B170" s="28" t="inlineStr">
        <is>
          <t>Test &amp; CI/CD</t>
        </is>
      </c>
      <c r="C170" s="28" t="inlineStr">
        <is>
          <t>Coverage is never measured in CI</t>
        </is>
      </c>
      <c r="D170" s="33" t="inlineStr">
        <is>
          <t>Medium</t>
        </is>
      </c>
      <c r="E170" s="28" t="inlineStr">
        <is>
          <t>Quick</t>
        </is>
      </c>
      <c r="F170" s="28" t="inlineStr">
        <is>
          <t>Open</t>
        </is>
      </c>
      <c r="G170" s="28" t="inlineStr">
        <is>
          <t>As reported</t>
        </is>
      </c>
      <c r="H170" s="28" t="n"/>
    </row>
    <row r="171" ht="15" customHeight="1" s="25">
      <c r="A171" s="27" t="inlineStr">
        <is>
          <t>TC-CI5</t>
        </is>
      </c>
      <c r="B171" s="28" t="inlineStr">
        <is>
          <t>Test &amp; CI/CD</t>
        </is>
      </c>
      <c r="C171" s="28" t="inlineStr">
        <is>
          <t>Security scanning is 5 regex patterns over the working tree only; no SAST</t>
        </is>
      </c>
      <c r="D171" s="33" t="inlineStr">
        <is>
          <t>Medium</t>
        </is>
      </c>
      <c r="E171" s="28" t="inlineStr">
        <is>
          <t>Quick</t>
        </is>
      </c>
      <c r="F171" s="30" t="inlineStr">
        <is>
          <t>Fixed</t>
        </is>
      </c>
      <c r="G171" s="31" t="inlineStr">
        <is>
          <t>Verified in code</t>
        </is>
      </c>
      <c r="H171" s="28" t="inlineStr">
        <is>
          <t>Patterns widened (DB/SMTP/conn-string/more prefixes); -e bug fixed; false positives tightened.</t>
        </is>
      </c>
    </row>
    <row r="172" ht="15" customHeight="1" s="25">
      <c r="A172" s="27" t="inlineStr">
        <is>
          <t>TC-CI10</t>
        </is>
      </c>
      <c r="B172" s="28" t="inlineStr">
        <is>
          <t>Test &amp; CI/CD</t>
        </is>
      </c>
      <c r="C172" s="28" t="inlineStr">
        <is>
          <t>No backend type-check, and lint warnings never fail</t>
        </is>
      </c>
      <c r="D172" s="33" t="inlineStr">
        <is>
          <t>Medium</t>
        </is>
      </c>
      <c r="E172" s="28" t="inlineStr">
        <is>
          <t>Deeper</t>
        </is>
      </c>
      <c r="F172" s="28" t="inlineStr">
        <is>
          <t>Open</t>
        </is>
      </c>
      <c r="G172" s="28" t="inlineStr">
        <is>
          <t>As reported</t>
        </is>
      </c>
      <c r="H172" s="28" t="n"/>
    </row>
    <row r="173" ht="15" customHeight="1" s="25">
      <c r="A173" s="27" t="inlineStr">
        <is>
          <t>TC-D7</t>
        </is>
      </c>
      <c r="B173" s="28" t="inlineStr">
        <is>
          <t>Test &amp; CI/CD</t>
        </is>
      </c>
      <c r="C173" s="28" t="inlineStr">
        <is>
          <t>The deployed tree is mutable and the deploy is not pinned to an artifact</t>
        </is>
      </c>
      <c r="D173" s="33" t="inlineStr">
        <is>
          <t>Medium</t>
        </is>
      </c>
      <c r="E173" s="28" t="inlineStr">
        <is>
          <t>Deeper</t>
        </is>
      </c>
      <c r="F173" s="28" t="inlineStr">
        <is>
          <t>Open</t>
        </is>
      </c>
      <c r="G173" s="28" t="inlineStr">
        <is>
          <t>As reported</t>
        </is>
      </c>
      <c r="H173" s="28" t="n"/>
    </row>
    <row r="174" ht="15" customHeight="1" s="25">
      <c r="A174" s="27" t="inlineStr">
        <is>
          <t>TC-D8</t>
        </is>
      </c>
      <c r="B174" s="28" t="inlineStr">
        <is>
          <t>Test &amp; CI/CD</t>
        </is>
      </c>
      <c r="C174" s="28" t="inlineStr">
        <is>
          <t>CI has no concurrency group; trigger SHA != deployed SHA</t>
        </is>
      </c>
      <c r="D174" s="33" t="inlineStr">
        <is>
          <t>Medium</t>
        </is>
      </c>
      <c r="E174" s="28" t="inlineStr">
        <is>
          <t>Quick</t>
        </is>
      </c>
      <c r="F174" s="28" t="inlineStr">
        <is>
          <t>Open</t>
        </is>
      </c>
      <c r="G174" s="28" t="inlineStr">
        <is>
          <t>As reported</t>
        </is>
      </c>
      <c r="H174" s="28" t="n"/>
    </row>
    <row r="175" ht="15" customHeight="1" s="25">
      <c r="A175" s="27" t="inlineStr">
        <is>
          <t>TC-E2</t>
        </is>
      </c>
      <c r="B175" s="28" t="inlineStr">
        <is>
          <t>Test &amp; CI/CD</t>
        </is>
      </c>
      <c r="C175" s="28" t="inlineStr">
        <is>
          <t>Publicly known dev defaults, guarded only by NODE_ENV</t>
        </is>
      </c>
      <c r="D175" s="33" t="inlineStr">
        <is>
          <t>Medium</t>
        </is>
      </c>
      <c r="E175" s="28" t="inlineStr">
        <is>
          <t>Quick</t>
        </is>
      </c>
      <c r="F175" s="28" t="inlineStr">
        <is>
          <t>Open</t>
        </is>
      </c>
      <c r="G175" s="28" t="inlineStr">
        <is>
          <t>As reported</t>
        </is>
      </c>
      <c r="H175" s="28" t="n"/>
    </row>
    <row r="176" ht="15" customHeight="1" s="25">
      <c r="A176" s="27" t="inlineStr">
        <is>
          <t>TC-E3</t>
        </is>
      </c>
      <c r="B176" s="28" t="inlineStr">
        <is>
          <t>Test &amp; CI/CD</t>
        </is>
      </c>
      <c r="C176" s="28" t="inlineStr">
        <is>
          <t>No rotation story for anything; ENCRYPTION_KEY effectively unrotatable</t>
        </is>
      </c>
      <c r="D176" s="37" t="inlineStr">
        <is>
          <t>Medium-High</t>
        </is>
      </c>
      <c r="E176" s="28" t="inlineStr">
        <is>
          <t>Process</t>
        </is>
      </c>
      <c r="F176" s="28" t="inlineStr">
        <is>
          <t>Open</t>
        </is>
      </c>
      <c r="G176" s="28" t="inlineStr">
        <is>
          <t>As reported</t>
        </is>
      </c>
      <c r="H176" s="28" t="n"/>
    </row>
    <row r="177" ht="15" customHeight="1" s="25">
      <c r="A177" s="27" t="inlineStr">
        <is>
          <t>TC-E4</t>
        </is>
      </c>
      <c r="B177" s="28" t="inlineStr">
        <is>
          <t>Test &amp; CI/CD</t>
        </is>
      </c>
      <c r="C177" s="28" t="inlineStr">
        <is>
          <t>The secret scan is blind to git history; documented past exposure unverified</t>
        </is>
      </c>
      <c r="D177" s="33" t="inlineStr">
        <is>
          <t>Medium</t>
        </is>
      </c>
      <c r="E177" s="28" t="inlineStr">
        <is>
          <t>Quick to check</t>
        </is>
      </c>
      <c r="F177" s="30" t="inlineStr">
        <is>
          <t>Fixed</t>
        </is>
      </c>
      <c r="G177" s="31" t="inlineStr">
        <is>
          <t>Verified in code</t>
        </is>
      </c>
      <c r="H177" s="28" t="inlineStr">
        <is>
          <t>scripts/scan-history-secrets.sh. RUN: the Groq key spans 177 commits from 51b57ae (2026-07-06) to HEAD. Purge declined; rotation done instead.</t>
        </is>
      </c>
    </row>
    <row r="178" ht="15" customHeight="1" s="25">
      <c r="A178" s="27" t="inlineStr">
        <is>
          <t>TC-R3</t>
        </is>
      </c>
      <c r="B178" s="28" t="inlineStr">
        <is>
          <t>Test &amp; CI/CD</t>
        </is>
      </c>
      <c r="C178" s="28" t="inlineStr">
        <is>
          <t>Deploys are not traceable to commits</t>
        </is>
      </c>
      <c r="D178" s="37" t="inlineStr">
        <is>
          <t>Medium-High</t>
        </is>
      </c>
      <c r="E178" s="28" t="inlineStr">
        <is>
          <t>Quick</t>
        </is>
      </c>
      <c r="F178" s="28" t="inlineStr">
        <is>
          <t>Open</t>
        </is>
      </c>
      <c r="G178" s="28" t="inlineStr">
        <is>
          <t>As reported</t>
        </is>
      </c>
      <c r="H178" s="28" t="n"/>
    </row>
    <row r="179" ht="15" customHeight="1" s="25">
      <c r="A179" s="27" t="inlineStr">
        <is>
          <t>TC-R1</t>
        </is>
      </c>
      <c r="B179" s="28" t="inlineStr">
        <is>
          <t>Test &amp; CI/CD</t>
        </is>
      </c>
      <c r="C179" s="28" t="inlineStr">
        <is>
          <t>There are no releases, tags or changelog; version frozen at 0.1.0</t>
        </is>
      </c>
      <c r="D179" s="33" t="inlineStr">
        <is>
          <t>Medium</t>
        </is>
      </c>
      <c r="E179" s="28" t="inlineStr">
        <is>
          <t>Quick</t>
        </is>
      </c>
      <c r="F179" s="28" t="inlineStr">
        <is>
          <t>Open</t>
        </is>
      </c>
      <c r="G179" s="28" t="inlineStr">
        <is>
          <t>As reported</t>
        </is>
      </c>
      <c r="H179" s="28" t="n"/>
    </row>
    <row r="180" ht="15" customHeight="1" s="25">
      <c r="A180" s="27" t="inlineStr">
        <is>
          <t>TC-Q5</t>
        </is>
      </c>
      <c r="B180" s="28" t="inlineStr">
        <is>
          <t>Test &amp; CI/CD</t>
        </is>
      </c>
      <c r="C180" s="28" t="inlineStr">
        <is>
          <t>Registration-only tests read as behavioural coverage</t>
        </is>
      </c>
      <c r="D180" s="38" t="inlineStr">
        <is>
          <t>Low-Medium</t>
        </is>
      </c>
      <c r="E180" s="28" t="inlineStr">
        <is>
          <t>Classify</t>
        </is>
      </c>
      <c r="F180" s="28" t="inlineStr">
        <is>
          <t>Open</t>
        </is>
      </c>
      <c r="G180" s="28" t="inlineStr">
        <is>
          <t>As reported</t>
        </is>
      </c>
      <c r="H180" s="28" t="n"/>
    </row>
    <row r="181" ht="15" customHeight="1" s="25">
      <c r="A181" s="27" t="inlineStr">
        <is>
          <t>TC-R4</t>
        </is>
      </c>
      <c r="B181" s="28" t="inlineStr">
        <is>
          <t>Test &amp; CI/CD</t>
        </is>
      </c>
      <c r="C181" s="28" t="inlineStr">
        <is>
          <t>Merge commits carry the least information; commit messages are the changelog</t>
        </is>
      </c>
      <c r="D181" s="38" t="inlineStr">
        <is>
          <t>Low-Medium</t>
        </is>
      </c>
      <c r="E181" s="28" t="inlineStr">
        <is>
          <t>Quick</t>
        </is>
      </c>
      <c r="F181" s="28" t="inlineStr">
        <is>
          <t>Open</t>
        </is>
      </c>
      <c r="G181" s="28" t="inlineStr">
        <is>
          <t>As reported</t>
        </is>
      </c>
      <c r="H181" s="28" t="n"/>
    </row>
    <row r="182" ht="15" customHeight="1" s="25">
      <c r="A182" s="27" t="inlineStr">
        <is>
          <t>TC-CI4</t>
        </is>
      </c>
      <c r="B182" s="28" t="inlineStr">
        <is>
          <t>Test &amp; CI/CD</t>
        </is>
      </c>
      <c r="C182" s="28" t="inlineStr">
        <is>
          <t>npm audit reports but does not block, with no expiry</t>
        </is>
      </c>
      <c r="D182" s="38" t="inlineStr">
        <is>
          <t>Low-Medium</t>
        </is>
      </c>
      <c r="E182" s="28" t="inlineStr">
        <is>
          <t>Quick</t>
        </is>
      </c>
      <c r="F182" s="28" t="inlineStr">
        <is>
          <t>Open</t>
        </is>
      </c>
      <c r="G182" s="28" t="inlineStr">
        <is>
          <t>As reported</t>
        </is>
      </c>
      <c r="H182" s="28" t="n"/>
    </row>
    <row r="183" ht="15" customHeight="1" s="25">
      <c r="A183" s="27" t="inlineStr">
        <is>
          <t>TC-F2</t>
        </is>
      </c>
      <c r="B183" s="28" t="inlineStr">
        <is>
          <t>Test &amp; CI/CD</t>
        </is>
      </c>
      <c r="C183" s="28" t="inlineStr">
        <is>
          <t>--runInBand costs 3x runtime for no observed benefit</t>
        </is>
      </c>
      <c r="D183" s="34" t="inlineStr">
        <is>
          <t>Low</t>
        </is>
      </c>
      <c r="E183" s="28" t="inlineStr">
        <is>
          <t>Quick</t>
        </is>
      </c>
      <c r="F183" s="28" t="inlineStr">
        <is>
          <t>Open</t>
        </is>
      </c>
      <c r="G183" s="28" t="inlineStr">
        <is>
          <t>As reported</t>
        </is>
      </c>
      <c r="H183" s="28" t="n"/>
    </row>
    <row r="184" ht="15" customHeight="1" s="25">
      <c r="A184" s="27" t="inlineStr">
        <is>
          <t>TC-F3</t>
        </is>
      </c>
      <c r="B184" s="28" t="inlineStr">
        <is>
          <t>Test &amp; CI/CD</t>
        </is>
      </c>
      <c r="C184" s="28" t="inlineStr">
        <is>
          <t>Expected-error noise in the CI log trains people to ignore red output</t>
        </is>
      </c>
      <c r="D184" s="34" t="inlineStr">
        <is>
          <t>Low</t>
        </is>
      </c>
      <c r="E184" s="28" t="inlineStr">
        <is>
          <t>Quick</t>
        </is>
      </c>
      <c r="F184" s="28" t="inlineStr">
        <is>
          <t>Open</t>
        </is>
      </c>
      <c r="G184" s="28" t="inlineStr">
        <is>
          <t>As reported</t>
        </is>
      </c>
      <c r="H184" s="28" t="n"/>
    </row>
    <row r="185" ht="23.25" customHeight="1" s="25">
      <c r="A185" s="27" t="inlineStr">
        <is>
          <t>TC-F1</t>
        </is>
      </c>
      <c r="B185" s="28" t="inlineStr">
        <is>
          <t>Test &amp; CI/CD</t>
        </is>
      </c>
      <c r="C185" s="28" t="inlineStr">
        <is>
          <t>No flakiness across 90 runs - measured, not assumed</t>
        </is>
      </c>
      <c r="D185" s="34" t="inlineStr">
        <is>
          <t>Low</t>
        </is>
      </c>
      <c r="E185" s="28" t="inlineStr">
        <is>
          <t>No action (positive finding)</t>
        </is>
      </c>
      <c r="F185" s="36" t="inlineStr">
        <is>
          <t>Closed</t>
        </is>
      </c>
      <c r="G185" s="28" t="inlineStr">
        <is>
          <t>As reported</t>
        </is>
      </c>
      <c r="H185" s="28" t="n"/>
    </row>
    <row r="186" ht="23.25" customHeight="1" s="25">
      <c r="A186" s="27" t="inlineStr">
        <is>
          <t>TC-CI9</t>
        </is>
      </c>
      <c r="B186" s="28" t="inlineStr">
        <is>
          <t>Test &amp; CI/CD</t>
        </is>
      </c>
      <c r="C186" s="28" t="inlineStr">
        <is>
          <t>Pipeline speed is not a problem</t>
        </is>
      </c>
      <c r="D186" s="34" t="inlineStr">
        <is>
          <t>Low</t>
        </is>
      </c>
      <c r="E186" s="28" t="inlineStr">
        <is>
          <t>No action (positive finding)</t>
        </is>
      </c>
      <c r="F186" s="36" t="inlineStr">
        <is>
          <t>Closed</t>
        </is>
      </c>
      <c r="G186" s="28" t="inlineStr">
        <is>
          <t>As reported</t>
        </is>
      </c>
      <c r="H186" s="28" t="n"/>
    </row>
    <row r="187" ht="15" customHeight="1" s="25">
      <c r="A187" s="27" t="inlineStr">
        <is>
          <t>UI-F1</t>
        </is>
      </c>
      <c r="B187" s="28" t="inlineStr">
        <is>
          <t>Desktop UI</t>
        </is>
      </c>
      <c r="C187" s="28" t="inlineStr">
        <is>
          <t>The home screen is a static HTML mock inside an iframe (1,440 lines of raw assets)</t>
        </is>
      </c>
      <c r="D187" s="29" t="inlineStr">
        <is>
          <t>Critical</t>
        </is>
      </c>
      <c r="E187" s="28" t="inlineStr">
        <is>
          <t>Structural</t>
        </is>
      </c>
      <c r="F187" s="28" t="inlineStr">
        <is>
          <t>Fixed</t>
        </is>
      </c>
      <c r="G187" s="28" t="inlineStr">
        <is>
          <t>Owner-confirmed</t>
        </is>
      </c>
      <c r="H187" s="28" t="inlineStr">
        <is>
          <t>Confirmed fixed by the owner (2026-08-05). Not independently re-verified in this session; the Desktop UI audit was closed out separately from the backend remediation stream. Previous register status: Open.</t>
        </is>
      </c>
    </row>
    <row r="188" ht="23.25" customHeight="1" s="25">
      <c r="A188" s="27" t="inlineStr">
        <is>
          <t>UI-F2</t>
        </is>
      </c>
      <c r="B188" s="28" t="inlineStr">
        <is>
          <t>Desktop UI</t>
        </is>
      </c>
      <c r="C188" s="28" t="inlineStr">
        <is>
          <t>There is no desktop breakpoint - the entire app lays out at 640px</t>
        </is>
      </c>
      <c r="D188" s="29" t="inlineStr">
        <is>
          <t>Critical</t>
        </is>
      </c>
      <c r="E188" s="28" t="inlineStr">
        <is>
          <t>Structural</t>
        </is>
      </c>
      <c r="F188" s="28" t="inlineStr">
        <is>
          <t>Fixed</t>
        </is>
      </c>
      <c r="G188" s="31" t="inlineStr">
        <is>
          <t>Owner-confirmed</t>
        </is>
      </c>
      <c r="H188" s="28" t="inlineStr">
        <is>
          <t>Confirmed fixed by the owner (2026-08-05). Not independently re-verified in this session; the Desktop UI audit was closed out separately from the backend remediation stream. Previous register status: Open.</t>
        </is>
      </c>
    </row>
    <row r="189" ht="15" customHeight="1" s="25">
      <c r="A189" s="27" t="inlineStr">
        <is>
          <t>UI-F4</t>
        </is>
      </c>
      <c r="B189" s="28" t="inlineStr">
        <is>
          <t>Desktop UI</t>
        </is>
      </c>
      <c r="C189" s="28" t="inlineStr">
        <is>
          <t>565 form fields render a label with no association to their control</t>
        </is>
      </c>
      <c r="D189" s="29" t="inlineStr">
        <is>
          <t>Critical</t>
        </is>
      </c>
      <c r="E189" s="28" t="inlineStr">
        <is>
          <t>Mechanical</t>
        </is>
      </c>
      <c r="F189" s="35" t="inlineStr">
        <is>
          <t>Fixed</t>
        </is>
      </c>
      <c r="G189" s="31" t="inlineStr">
        <is>
          <t>Owner-confirmed</t>
        </is>
      </c>
      <c r="H189" s="28" t="inlineStr">
        <is>
          <t>Confirmed fixed by the owner (2026-08-05). Not independently re-verified in this session; the Desktop UI audit was closed out separately from the backend remediation stream. Previous register status: Partially fixed.</t>
        </is>
      </c>
    </row>
    <row r="190" ht="15" customHeight="1" s="25">
      <c r="A190" s="27" t="inlineStr">
        <is>
          <t>UI-F5</t>
        </is>
      </c>
      <c r="B190" s="28" t="inlineStr">
        <is>
          <t>Desktop UI</t>
        </is>
      </c>
      <c r="C190" s="28" t="inlineStr">
        <is>
          <t>The documented way to build a screen does not exist</t>
        </is>
      </c>
      <c r="D190" s="29" t="inlineStr">
        <is>
          <t>Critical</t>
        </is>
      </c>
      <c r="E190" s="28" t="inlineStr">
        <is>
          <t>Docs + code</t>
        </is>
      </c>
      <c r="F190" s="28" t="inlineStr">
        <is>
          <t>Fixed</t>
        </is>
      </c>
      <c r="G190" s="28" t="inlineStr">
        <is>
          <t>Owner-confirmed</t>
        </is>
      </c>
      <c r="H190" s="28" t="inlineStr">
        <is>
          <t>Confirmed fixed by the owner (2026-08-05). Not independently re-verified in this session; the Desktop UI audit was closed out separately from the backend remediation stream. Previous register status: Open.</t>
        </is>
      </c>
    </row>
    <row r="191" ht="15" customHeight="1" s="25">
      <c r="A191" s="27" t="inlineStr">
        <is>
          <t>UI-A2</t>
        </is>
      </c>
      <c r="B191" s="28" t="inlineStr">
        <is>
          <t>Desktop UI</t>
        </is>
      </c>
      <c r="C191" s="28" t="inlineStr">
        <is>
          <t>features/sales/ui.tsx is a shadow design system imported by 10 feature areas</t>
        </is>
      </c>
      <c r="D191" s="29" t="inlineStr">
        <is>
          <t>Critical</t>
        </is>
      </c>
      <c r="E191" s="28" t="inlineStr">
        <is>
          <t>Structural</t>
        </is>
      </c>
      <c r="F191" s="28" t="inlineStr">
        <is>
          <t>Fixed</t>
        </is>
      </c>
      <c r="G191" s="28" t="inlineStr">
        <is>
          <t>Owner-confirmed</t>
        </is>
      </c>
      <c r="H191" s="28" t="inlineStr">
        <is>
          <t>Confirmed fixed by the owner (2026-08-05). Not independently re-verified in this session; the Desktop UI audit was closed out separately from the backend remediation stream. Previous register status: Open.</t>
        </is>
      </c>
    </row>
    <row r="192" ht="23.25" customHeight="1" s="25">
      <c r="A192" s="27" t="inlineStr">
        <is>
          <t>UI-F3</t>
        </is>
      </c>
      <c r="B192" s="28" t="inlineStr">
        <is>
          <t>Desktop UI</t>
        </is>
      </c>
      <c r="C192" s="28" t="inlineStr">
        <is>
          <t>Every page self-caps at 1152px (mx-auto max-w-6xl at 86 call sites)</t>
        </is>
      </c>
      <c r="D192" s="32" t="inlineStr">
        <is>
          <t>High</t>
        </is>
      </c>
      <c r="E192" s="28" t="inlineStr">
        <is>
          <t>Mechanical</t>
        </is>
      </c>
      <c r="F192" s="30" t="inlineStr">
        <is>
          <t>Fixed</t>
        </is>
      </c>
      <c r="G192" s="31" t="inlineStr">
        <is>
          <t>Owner-confirmed</t>
        </is>
      </c>
      <c r="H192" s="28" t="inlineStr">
        <is>
          <t>Confirmed fixed by the owner (2026-08-05). Not independently re-verified in this session; the Desktop UI audit was closed out separately from the backend remediation stream. Previous register status: Largely fixed.</t>
        </is>
      </c>
    </row>
    <row r="193" ht="15" customHeight="1" s="25">
      <c r="A193" s="27" t="inlineStr">
        <is>
          <t>UI-F6</t>
        </is>
      </c>
      <c r="B193" s="28" t="inlineStr">
        <is>
          <t>Desktop UI</t>
        </is>
      </c>
      <c r="C193" s="28" t="inlineStr">
        <is>
          <t>Duplication: the same UI reimplemented instead of shared</t>
        </is>
      </c>
      <c r="D193" s="32" t="inlineStr">
        <is>
          <t>High</t>
        </is>
      </c>
      <c r="E193" s="28" t="inlineStr">
        <is>
          <t>Mechanical</t>
        </is>
      </c>
      <c r="F193" s="28" t="inlineStr">
        <is>
          <t>Fixed</t>
        </is>
      </c>
      <c r="G193" s="28" t="inlineStr">
        <is>
          <t>Owner-confirmed</t>
        </is>
      </c>
      <c r="H193" s="28" t="inlineStr">
        <is>
          <t>Confirmed fixed by the owner (2026-08-05). Not independently re-verified in this session; the Desktop UI audit was closed out separately from the backend remediation stream. Previous register status: Open.</t>
        </is>
      </c>
    </row>
    <row r="194" ht="15" customHeight="1" s="25">
      <c r="A194" s="27" t="inlineStr">
        <is>
          <t>UI-F7</t>
        </is>
      </c>
      <c r="B194" s="28" t="inlineStr">
        <is>
          <t>Desktop UI</t>
        </is>
      </c>
      <c r="C194" s="28" t="inlineStr">
        <is>
          <t>Component architecture: god files and no page-level decomposition</t>
        </is>
      </c>
      <c r="D194" s="32" t="inlineStr">
        <is>
          <t>High</t>
        </is>
      </c>
      <c r="E194" s="28" t="inlineStr">
        <is>
          <t>Structural</t>
        </is>
      </c>
      <c r="F194" s="28" t="inlineStr">
        <is>
          <t>Fixed</t>
        </is>
      </c>
      <c r="G194" s="28" t="inlineStr">
        <is>
          <t>Owner-confirmed</t>
        </is>
      </c>
      <c r="H194" s="28" t="inlineStr">
        <is>
          <t>Confirmed fixed by the owner (2026-08-05). Not independently re-verified in this session; the Desktop UI audit was closed out separately from the backend remediation stream. Previous register status: Open.</t>
        </is>
      </c>
    </row>
    <row r="195" ht="15" customHeight="1" s="25">
      <c r="A195" s="27" t="inlineStr">
        <is>
          <t>UI-F13</t>
        </is>
      </c>
      <c r="B195" s="28" t="inlineStr">
        <is>
          <t>Desktop UI</t>
        </is>
      </c>
      <c r="C195" s="28" t="inlineStr">
        <is>
          <t>Accessibility: .micro at 3.01:1 contrast, menu keyboard nav, heading structure</t>
        </is>
      </c>
      <c r="D195" s="32" t="inlineStr">
        <is>
          <t>High</t>
        </is>
      </c>
      <c r="E195" s="28" t="inlineStr">
        <is>
          <t>Mechanical</t>
        </is>
      </c>
      <c r="F195" s="28" t="inlineStr">
        <is>
          <t>Fixed</t>
        </is>
      </c>
      <c r="G195" s="28" t="inlineStr">
        <is>
          <t>Owner-confirmed</t>
        </is>
      </c>
      <c r="H195" s="28" t="inlineStr">
        <is>
          <t>Confirmed fixed by the owner (2026-08-05). Not independently re-verified in this session; the Desktop UI audit was closed out separately from the backend remediation stream. Previous register status: Open.</t>
        </is>
      </c>
    </row>
    <row r="196" ht="15" customHeight="1" s="25">
      <c r="A196" s="27" t="inlineStr">
        <is>
          <t>UI-F16</t>
        </is>
      </c>
      <c r="B196" s="28" t="inlineStr">
        <is>
          <t>Desktop UI</t>
        </is>
      </c>
      <c r="C196" s="28" t="inlineStr">
        <is>
          <t>Tech stack gaps: no frontend tests, no a11y lint</t>
        </is>
      </c>
      <c r="D196" s="32" t="inlineStr">
        <is>
          <t>High</t>
        </is>
      </c>
      <c r="E196" s="28" t="inlineStr">
        <is>
          <t>Tooling</t>
        </is>
      </c>
      <c r="F196" s="28" t="inlineStr">
        <is>
          <t>Fixed</t>
        </is>
      </c>
      <c r="G196" s="28" t="inlineStr">
        <is>
          <t>Owner-confirmed</t>
        </is>
      </c>
      <c r="H196" s="28" t="inlineStr">
        <is>
          <t>Confirmed fixed by the owner (2026-08-05). Not independently re-verified in this session; the Desktop UI audit was closed out separately from the backend remediation stream. Previous register status: Open.</t>
        </is>
      </c>
    </row>
    <row r="197" ht="15" customHeight="1" s="25">
      <c r="A197" s="27" t="inlineStr">
        <is>
          <t>UI-A3</t>
        </is>
      </c>
      <c r="B197" s="28" t="inlineStr">
        <is>
          <t>Desktop UI</t>
        </is>
      </c>
      <c r="C197" s="28" t="inlineStr">
        <is>
          <t>Local re-implementations found only by reading (Segmented x4, Panel x6, FormButtons x7)</t>
        </is>
      </c>
      <c r="D197" s="32" t="inlineStr">
        <is>
          <t>High</t>
        </is>
      </c>
      <c r="E197" s="28" t="inlineStr">
        <is>
          <t>Mechanical</t>
        </is>
      </c>
      <c r="F197" s="28" t="inlineStr">
        <is>
          <t>Fixed</t>
        </is>
      </c>
      <c r="G197" s="28" t="inlineStr">
        <is>
          <t>Owner-confirmed</t>
        </is>
      </c>
      <c r="H197" s="28" t="inlineStr">
        <is>
          <t>Confirmed fixed by the owner (2026-08-05). Not independently re-verified in this session; the Desktop UI audit was closed out separately from the backend remediation stream. Previous register status: Open.</t>
        </is>
      </c>
    </row>
    <row r="198" ht="15" customHeight="1" s="25">
      <c r="A198" s="27" t="inlineStr">
        <is>
          <t>UI-A4</t>
        </is>
      </c>
      <c r="B198" s="28" t="inlineStr">
        <is>
          <t>Desktop UI</t>
        </is>
      </c>
      <c r="C198" s="28" t="inlineStr">
        <is>
          <t>Raw JSON shown to end users</t>
        </is>
      </c>
      <c r="D198" s="32" t="inlineStr">
        <is>
          <t>High</t>
        </is>
      </c>
      <c r="E198" s="28" t="inlineStr">
        <is>
          <t>Code</t>
        </is>
      </c>
      <c r="F198" s="28" t="inlineStr">
        <is>
          <t>Fixed</t>
        </is>
      </c>
      <c r="G198" s="28" t="inlineStr">
        <is>
          <t>Owner-confirmed</t>
        </is>
      </c>
      <c r="H198" s="28" t="inlineStr">
        <is>
          <t>Confirmed fixed by the owner (2026-08-05). Not independently re-verified in this session; the Desktop UI audit was closed out separately from the backend remediation stream. Previous register status: Open.</t>
        </is>
      </c>
    </row>
    <row r="199" ht="23.25" customHeight="1" s="25">
      <c r="A199" s="27" t="inlineStr">
        <is>
          <t>UI-F8</t>
        </is>
      </c>
      <c r="B199" s="28" t="inlineStr">
        <is>
          <t>Desktop UI</t>
        </is>
      </c>
      <c r="C199" s="28" t="inlineStr">
        <is>
          <t>Data fetching: no cache, duplicate requests, client-side filtering over a truncated 50-row window</t>
        </is>
      </c>
      <c r="D199" s="33" t="inlineStr">
        <is>
          <t>Medium</t>
        </is>
      </c>
      <c r="E199" s="28" t="inlineStr">
        <is>
          <t>Code</t>
        </is>
      </c>
      <c r="F199" s="35" t="inlineStr">
        <is>
          <t>Fixed</t>
        </is>
      </c>
      <c r="G199" s="31" t="inlineStr">
        <is>
          <t>Owner-confirmed</t>
        </is>
      </c>
      <c r="H199" s="28" t="inlineStr">
        <is>
          <t>Confirmed fixed by the owner (2026-08-05). Not independently re-verified in this session; the Desktop UI audit was closed out separately from the backend remediation stream. Previous register status: Partially fixed.</t>
        </is>
      </c>
    </row>
    <row r="200" ht="15" customHeight="1" s="25">
      <c r="A200" s="27" t="inlineStr">
        <is>
          <t>UI-F9</t>
        </is>
      </c>
      <c r="B200" s="28" t="inlineStr">
        <is>
          <t>Desktop UI</t>
        </is>
      </c>
      <c r="C200" s="28" t="inlineStr">
        <is>
          <t>Responsive failures beyond the breakpoint gap</t>
        </is>
      </c>
      <c r="D200" s="33" t="inlineStr">
        <is>
          <t>Medium</t>
        </is>
      </c>
      <c r="E200" s="28" t="inlineStr">
        <is>
          <t>Mechanical</t>
        </is>
      </c>
      <c r="F200" s="28" t="inlineStr">
        <is>
          <t>Fixed</t>
        </is>
      </c>
      <c r="G200" s="28" t="inlineStr">
        <is>
          <t>Owner-confirmed</t>
        </is>
      </c>
      <c r="H200" s="28" t="inlineStr">
        <is>
          <t>Confirmed fixed by the owner (2026-08-05). Not independently re-verified in this session; the Desktop UI audit was closed out separately from the backend remediation stream. Previous register status: Open.</t>
        </is>
      </c>
    </row>
    <row r="201" ht="15" customHeight="1" s="25">
      <c r="A201" s="27" t="inlineStr">
        <is>
          <t>UI-F10</t>
        </is>
      </c>
      <c r="B201" s="28" t="inlineStr">
        <is>
          <t>Desktop UI</t>
        </is>
      </c>
      <c r="C201" s="28" t="inlineStr">
        <is>
          <t>Loading states: five different idioms, inconsistently applied</t>
        </is>
      </c>
      <c r="D201" s="33" t="inlineStr">
        <is>
          <t>Medium</t>
        </is>
      </c>
      <c r="E201" s="28" t="inlineStr">
        <is>
          <t>Mechanical</t>
        </is>
      </c>
      <c r="F201" s="28" t="inlineStr">
        <is>
          <t>Fixed</t>
        </is>
      </c>
      <c r="G201" s="28" t="inlineStr">
        <is>
          <t>Owner-confirmed</t>
        </is>
      </c>
      <c r="H201" s="28" t="inlineStr">
        <is>
          <t>Confirmed fixed by the owner (2026-08-05). Not independently re-verified in this session; the Desktop UI audit was closed out separately from the backend remediation stream. Previous register status: Open.</t>
        </is>
      </c>
    </row>
    <row r="202" ht="15" customHeight="1" s="25">
      <c r="A202" s="27" t="inlineStr">
        <is>
          <t>UI-F11</t>
        </is>
      </c>
      <c r="B202" s="28" t="inlineStr">
        <is>
          <t>Desktop UI</t>
        </is>
      </c>
      <c r="C202" s="28" t="inlineStr">
        <is>
          <t>Empty states: good primitive, uneven coverage, generic copy</t>
        </is>
      </c>
      <c r="D202" s="33" t="inlineStr">
        <is>
          <t>Medium</t>
        </is>
      </c>
      <c r="E202" s="28" t="inlineStr">
        <is>
          <t>Mechanical</t>
        </is>
      </c>
      <c r="F202" s="28" t="inlineStr">
        <is>
          <t>Fixed</t>
        </is>
      </c>
      <c r="G202" s="28" t="inlineStr">
        <is>
          <t>Owner-confirmed</t>
        </is>
      </c>
      <c r="H202" s="28" t="inlineStr">
        <is>
          <t>Confirmed fixed by the owner (2026-08-05). Not independently re-verified in this session; the Desktop UI audit was closed out separately from the backend remediation stream. Previous register status: Open.</t>
        </is>
      </c>
    </row>
    <row r="203" ht="15" customHeight="1" s="25">
      <c r="A203" s="27" t="inlineStr">
        <is>
          <t>UI-F12</t>
        </is>
      </c>
      <c r="B203" s="28" t="inlineStr">
        <is>
          <t>Desktop UI</t>
        </is>
      </c>
      <c r="C203" s="28" t="inlineStr">
        <is>
          <t>Errors and edge cases, including a live errMsg double-wrap defect</t>
        </is>
      </c>
      <c r="D203" s="33" t="inlineStr">
        <is>
          <t>Medium</t>
        </is>
      </c>
      <c r="E203" s="28" t="inlineStr">
        <is>
          <t>Code</t>
        </is>
      </c>
      <c r="F203" s="28" t="inlineStr">
        <is>
          <t>Fixed</t>
        </is>
      </c>
      <c r="G203" s="28" t="inlineStr">
        <is>
          <t>Owner-confirmed</t>
        </is>
      </c>
      <c r="H203" s="28" t="inlineStr">
        <is>
          <t>Confirmed fixed by the owner (2026-08-05). Not independently re-verified in this session; the Desktop UI audit was closed out separately from the backend remediation stream. Previous register status: Open.</t>
        </is>
      </c>
    </row>
    <row r="204" ht="15" customHeight="1" s="25">
      <c r="A204" s="27" t="inlineStr">
        <is>
          <t>UI-F14</t>
        </is>
      </c>
      <c r="B204" s="28" t="inlineStr">
        <is>
          <t>Desktop UI</t>
        </is>
      </c>
      <c r="C204" s="28" t="inlineStr">
        <is>
          <t>Visual and UX consistency: 122 raw Tailwind palette colours bypassing the tokens</t>
        </is>
      </c>
      <c r="D204" s="33" t="inlineStr">
        <is>
          <t>Medium</t>
        </is>
      </c>
      <c r="E204" s="28" t="inlineStr">
        <is>
          <t>Mechanical</t>
        </is>
      </c>
      <c r="F204" s="28" t="inlineStr">
        <is>
          <t>Fixed</t>
        </is>
      </c>
      <c r="G204" s="28" t="inlineStr">
        <is>
          <t>Owner-confirmed</t>
        </is>
      </c>
      <c r="H204" s="28" t="inlineStr">
        <is>
          <t>Confirmed fixed by the owner (2026-08-05). Not independently re-verified in this session; the Desktop UI audit was closed out separately from the backend remediation stream. Previous register status: Open.</t>
        </is>
      </c>
    </row>
    <row r="205" ht="15" customHeight="1" s="25">
      <c r="A205" s="27" t="inlineStr">
        <is>
          <t>UI-F15</t>
        </is>
      </c>
      <c r="B205" s="28" t="inlineStr">
        <is>
          <t>Desktop UI</t>
        </is>
      </c>
      <c r="C205" s="28" t="inlineStr">
        <is>
          <t>Developer experience</t>
        </is>
      </c>
      <c r="D205" s="33" t="inlineStr">
        <is>
          <t>Medium</t>
        </is>
      </c>
      <c r="E205" s="28" t="inlineStr">
        <is>
          <t>Tooling</t>
        </is>
      </c>
      <c r="F205" s="28" t="inlineStr">
        <is>
          <t>Fixed</t>
        </is>
      </c>
      <c r="G205" s="28" t="inlineStr">
        <is>
          <t>Owner-confirmed</t>
        </is>
      </c>
      <c r="H205" s="28" t="inlineStr">
        <is>
          <t>Confirmed fixed by the owner (2026-08-05). Not independently re-verified in this session; the Desktop UI audit was closed out separately from the backend remediation stream. Previous register status: Open.</t>
        </is>
      </c>
    </row>
    <row r="206" ht="15" customHeight="1" s="25">
      <c r="A206" s="27" t="inlineStr">
        <is>
          <t>UI-F17</t>
        </is>
      </c>
      <c r="B206" s="28" t="inlineStr">
        <is>
          <t>Desktop UI</t>
        </is>
      </c>
      <c r="C206" s="28" t="inlineStr">
        <is>
          <t>The visual language is a well-executed template and reads as one - typography and density</t>
        </is>
      </c>
      <c r="D206" s="33" t="inlineStr">
        <is>
          <t>Medium</t>
        </is>
      </c>
      <c r="E206" s="28" t="inlineStr">
        <is>
          <t>Token pass</t>
        </is>
      </c>
      <c r="F206" s="28" t="inlineStr">
        <is>
          <t>Fixed</t>
        </is>
      </c>
      <c r="G206" s="28" t="inlineStr">
        <is>
          <t>Owner-confirmed</t>
        </is>
      </c>
      <c r="H206" s="28" t="inlineStr">
        <is>
          <t>Confirmed fixed by the owner (2026-08-05). Not independently re-verified in this session; the Desktop UI audit was closed out separately from the backend remediation stream. Previous register status: Open.</t>
        </is>
      </c>
    </row>
    <row r="207" ht="34.5" customHeight="1" s="25">
      <c r="A207" s="27" t="inlineStr">
        <is>
          <t>NEW-01</t>
        </is>
      </c>
      <c r="B207" s="28" t="inlineStr">
        <is>
          <t>Test &amp; CI/CD</t>
        </is>
      </c>
      <c r="C207" s="28" t="inlineStr">
        <is>
          <t>Dockerfile deps stage never copied packages/, so `@praxis/shared` (a file: dependency) could not be linked — the image had no invoicing module and every final_invoice route 404'd</t>
        </is>
      </c>
      <c r="D207" s="29" t="inlineStr">
        <is>
          <t>Critical</t>
        </is>
      </c>
      <c r="E207" s="28" t="inlineStr">
        <is>
          <t>Docker</t>
        </is>
      </c>
      <c r="F207" s="30" t="inlineStr">
        <is>
          <t>Fixed</t>
        </is>
      </c>
      <c r="G207" s="31" t="inlineStr">
        <is>
          <t>Verified in code</t>
        </is>
      </c>
      <c r="H207" s="28" t="inlineStr">
        <is>
          <t>Layer was cached from before the dep existed, so builds kept passing. Also a time bomb: the next package.json change would fail the build outright. Found by running the test suite. Commit 5ed5870.</t>
        </is>
      </c>
    </row>
    <row r="208" ht="23.25" customHeight="1" s="25">
      <c r="A208" s="27" t="inlineStr">
        <is>
          <t>NEW-02</t>
        </is>
      </c>
      <c r="B208" s="28" t="inlineStr">
        <is>
          <t>Test &amp; CI/CD</t>
        </is>
      </c>
      <c r="C208" s="28" t="inlineStr">
        <is>
          <t>scripts/deploy.sh git-pulls the repo containing itself, so bash keeps executing the OLD file — every change to it took effect one deploy late</t>
        </is>
      </c>
      <c r="D208" s="29" t="inlineStr">
        <is>
          <t>Critical</t>
        </is>
      </c>
      <c r="E208" s="28" t="inlineStr">
        <is>
          <t>Shell</t>
        </is>
      </c>
      <c r="F208" s="30" t="inlineStr">
        <is>
          <t>Fixed</t>
        </is>
      </c>
      <c r="G208" s="31" t="inlineStr">
        <is>
          <t>Verified in code</t>
        </is>
      </c>
      <c r="H208" s="28" t="inlineStr">
        <is>
          <t>Pre-existing. Surfaced when a fix to the backup step was pulled and the run failed with the exact bug it fixed. Now pulls then re-execs. Reproduced standalone. Commit cdc034d.</t>
        </is>
      </c>
    </row>
    <row r="209" ht="34.5" customHeight="1" s="25">
      <c r="A209" s="27" t="inlineStr">
        <is>
          <t>NEW-03</t>
        </is>
      </c>
      <c r="B209" s="28" t="inlineStr">
        <is>
          <t>Test &amp; CI/CD</t>
        </is>
      </c>
      <c r="C209" s="28" t="inlineStr">
        <is>
          <t>Working tree is CRLF while every git blob is LF; a shell script edited on Windows becomes unparseable on the Linux server</t>
        </is>
      </c>
      <c r="D209" s="29" t="inlineStr">
        <is>
          <t>Critical</t>
        </is>
      </c>
      <c r="E209" s="28" t="inlineStr">
        <is>
          <t>Config</t>
        </is>
      </c>
      <c r="F209" s="30" t="inlineStr">
        <is>
          <t>Fixed</t>
        </is>
      </c>
      <c r="G209" s="31" t="inlineStr">
        <is>
          <t>Verified in code</t>
        </is>
      </c>
      <c r="H209" s="28" t="inlineStr">
        <is>
          <t>rollback.sh failed with `syntax error near unexpected token $'do\r'` — the recovery script could not run at all. .gitattributes added; CI now asserts every tracked *.sh is LF and passes bash -n. Commit 54e3f2c.</t>
        </is>
      </c>
    </row>
    <row r="210" ht="34.5" customHeight="1" s="25">
      <c r="A210" s="27" t="inlineStr">
        <is>
          <t>NEW-04</t>
        </is>
      </c>
      <c r="B210" s="28" t="inlineStr">
        <is>
          <t>Data Integrity</t>
        </is>
      </c>
      <c r="C210" s="28" t="inlineStr">
        <is>
          <t>config/database.js is dead code in the API process — initDatabase() is defined and never called anywhere in src/</t>
        </is>
      </c>
      <c r="D210" s="32" t="inlineStr">
        <is>
          <t>High</t>
        </is>
      </c>
      <c r="E210" s="28" t="inlineStr">
        <is>
          <t>Code</t>
        </is>
      </c>
      <c r="F210" s="28" t="inlineStr">
        <is>
          <t>Fixed</t>
        </is>
      </c>
      <c r="G210" s="31" t="inlineStr">
        <is>
          <t>Verified</t>
        </is>
      </c>
      <c r="H210" s="28" t="inlineStr">
        <is>
          <t>config/database.js deleted. It was worse than dead: initDatabase() is never called anywhere in src/, and TWO live modules imported it - jobs/corn-lock.js (getPool) and shared/push/push.service.js (query). Proven getPool() throws 'db pool not initialised', so every cron job wrapped in withCronLock threw on its first line and, because jobs swallow their own errors, had never once acquired an advisory lock. push.service's try/catch guarded the REQUIRE, which never failed; the failure was one level deeper at use. Both repointed at services/platform/db.js, which exports the identical {getPool, query, close} surface. Verified no remaining references outside comments.</t>
        </is>
      </c>
    </row>
    <row r="211" ht="34.5" customHeight="1" s="25">
      <c r="A211" s="27" t="inlineStr">
        <is>
          <t>NEW-05</t>
        </is>
      </c>
      <c r="B211" s="28" t="inlineStr">
        <is>
          <t>Data Integrity</t>
        </is>
      </c>
      <c r="C211" s="28" t="inlineStr">
        <is>
          <t>Depreciation rows already written with posted=true and entry_id NULL — the register reports accumulated depreciation the trial balance does not contain</t>
        </is>
      </c>
      <c r="D211" s="29" t="inlineStr">
        <is>
          <t>Critical</t>
        </is>
      </c>
      <c r="E211" s="28" t="inlineStr">
        <is>
          <t>Data repair</t>
        </is>
      </c>
      <c r="F211" s="28" t="inlineStr">
        <is>
          <t>Fixed</t>
        </is>
      </c>
      <c r="G211" s="31" t="inlineStr">
        <is>
          <t>Verified</t>
        </is>
      </c>
      <c r="H211" s="28" t="inlineStr">
        <is>
          <t>Migration 0502 adds CHECK (posted = false OR entry_id IS NOT NULL) on depreciation_schedule, making the broken state unrepresentable. The code path was fixed by DATA 5.5; this stops a future edit reintroducing it. The converse (entry_id set, posted false) is deliberately allowed - it is the legitimate intermediate under the corrected ordering. NOT VALID because rows in the broken state already exist in production; scripts/db/reconcile-depreciation.js must run first, then VALIDATE. OWNER ACTION STILL OUTSTANDING: the books are wrong until that script is run.</t>
        </is>
      </c>
    </row>
    <row r="212" ht="23.25" customHeight="1" s="25">
      <c r="A212" s="27" t="inlineStr">
        <is>
          <t>NEW-06</t>
        </is>
      </c>
      <c r="B212" s="28" t="inlineStr">
        <is>
          <t>Observability</t>
        </is>
      </c>
      <c r="C212" s="28" t="inlineStr">
        <is>
          <t>pino-pretty transport was spawned under NODE_ENV=test, leaking a worker thread per Jest process</t>
        </is>
      </c>
      <c r="D212" s="34" t="inlineStr">
        <is>
          <t>Low</t>
        </is>
      </c>
      <c r="E212" s="28" t="inlineStr">
        <is>
          <t>Config</t>
        </is>
      </c>
      <c r="F212" s="30" t="inlineStr">
        <is>
          <t>Fixed</t>
        </is>
      </c>
      <c r="G212" s="31" t="inlineStr">
        <is>
          <t>Verified in code</t>
        </is>
      </c>
      <c r="H212" s="28" t="inlineStr">
        <is>
          <t>Caused 'A worker process has failed to exit gracefully'. Bought nothing — jest.setup.js already silences output. Pretty-printing is now development-only. Commit 5ed5870.</t>
        </is>
      </c>
    </row>
    <row r="213">
      <c r="A213" s="24" t="inlineStr">
        <is>
          <t>NEW-06</t>
        </is>
      </c>
      <c r="B213" s="24" t="inlineStr">
        <is>
          <t>Security</t>
        </is>
      </c>
      <c r="C213" s="24" t="inlineStr">
        <is>
          <t>POST /sessions/:id/kill has authMiddleware but no requirePermission — any authenticated user can revoke any session by id</t>
        </is>
      </c>
      <c r="D213" s="24" t="inlineStr">
        <is>
          <t>Medium</t>
        </is>
      </c>
      <c r="E213" s="24" t="inlineStr">
        <is>
          <t>Code</t>
        </is>
      </c>
      <c r="F213" s="24" t="inlineStr">
        <is>
          <t>Open</t>
        </is>
      </c>
      <c r="G213" s="24" t="inlineStr">
        <is>
          <t>Not started</t>
        </is>
      </c>
      <c r="H213" s="24" t="inlineStr">
        <is>
          <t>Found 2026-08-05 while verifying the incident runbook's containment steps against the real routes. Every other write on session.routes.js carries requirePermission(MODULE, ...) — create, update, archive — and this one does not. Session ids are uuids so it is not trivially enumerable, but a session id leaks into logs and error payloads more readily than a password does, and the effect is forced logout of an arbitrary user (nuisance, or targeted denial of access to an approver mid-workflow). The sibling route /mine/revoke-all is correctly ungated because it is self-scoped.</t>
        </is>
      </c>
    </row>
  </sheetData>
  <autoFilter ref="A1:H212"/>
  <dataValidations count="1">
    <dataValidation sqref="F2:F206" showDropDown="0" showInputMessage="0" showErrorMessage="0" allowBlank="1" type="list" errorStyle="stop" operator="between">
      <formula1>"Open,In progress,Partially fixed,Largely fixed,Fixed,Closed,Won't fix,Deferred"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6" customWidth="1" style="24" min="1" max="1"/>
    <col width="13" customWidth="1" style="24" min="2" max="8"/>
  </cols>
  <sheetData>
    <row r="1" ht="17.25" customHeight="1" s="25">
      <c r="A1" s="39" t="inlineStr">
        <is>
          <t>Praxis LS - consolidated audit register, 2026-08-04</t>
        </is>
      </c>
      <c r="B1" s="40" t="n"/>
      <c r="C1" s="40" t="n"/>
      <c r="D1" s="40" t="n"/>
      <c r="E1" s="40" t="n"/>
      <c r="F1" s="40" t="n"/>
      <c r="G1" s="40" t="n"/>
      <c r="H1" s="40" t="n"/>
    </row>
    <row r="2" ht="15" customHeight="1" s="25">
      <c r="A2" s="41" t="inlineStr">
        <is>
          <t>Seven Phase-0 audits. One row per headline finding on the Register sheet.</t>
        </is>
      </c>
      <c r="B2" s="40" t="n"/>
      <c r="C2" s="40" t="n"/>
      <c r="D2" s="40" t="n"/>
      <c r="E2" s="40" t="n"/>
      <c r="F2" s="40" t="n"/>
      <c r="G2" s="40" t="n"/>
      <c r="H2" s="40" t="n"/>
    </row>
    <row r="3" ht="15" customHeight="1" s="25">
      <c r="A3" s="42" t="n"/>
      <c r="B3" s="40" t="n"/>
      <c r="C3" s="40" t="n"/>
      <c r="D3" s="40" t="n"/>
      <c r="E3" s="40" t="n"/>
      <c r="F3" s="40" t="n"/>
      <c r="G3" s="40" t="n"/>
      <c r="H3" s="40" t="n"/>
    </row>
    <row r="4" ht="15" customHeight="1" s="25">
      <c r="A4" s="43" t="inlineStr">
        <is>
          <t>Audit</t>
        </is>
      </c>
      <c r="B4" s="44" t="inlineStr">
        <is>
          <t>Critical</t>
        </is>
      </c>
      <c r="C4" s="44" t="inlineStr">
        <is>
          <t>High</t>
        </is>
      </c>
      <c r="D4" s="44" t="inlineStr">
        <is>
          <t>Medium-High</t>
        </is>
      </c>
      <c r="E4" s="44" t="inlineStr">
        <is>
          <t>Medium</t>
        </is>
      </c>
      <c r="F4" s="44" t="inlineStr">
        <is>
          <t>Low-Medium</t>
        </is>
      </c>
      <c r="G4" s="44" t="inlineStr">
        <is>
          <t>Low</t>
        </is>
      </c>
      <c r="H4" s="44" t="inlineStr">
        <is>
          <t>Total</t>
        </is>
      </c>
    </row>
    <row r="5" ht="15" customHeight="1" s="25">
      <c r="A5" s="45" t="inlineStr">
        <is>
          <t>Security</t>
        </is>
      </c>
      <c r="B5" s="46">
        <f>COUNTIFS(Register!$B$2:$B$206,$A5,Register!$D$2:$D$206,B$4)</f>
        <v/>
      </c>
      <c r="C5" s="46">
        <f>COUNTIFS(Register!$B$2:$B$206,$A5,Register!$D$2:$D$206,C$4)</f>
        <v/>
      </c>
      <c r="D5" s="46">
        <f>COUNTIFS(Register!$B$2:$B$206,$A5,Register!$D$2:$D$206,D$4)</f>
        <v/>
      </c>
      <c r="E5" s="46">
        <f>COUNTIFS(Register!$B$2:$B$206,$A5,Register!$D$2:$D$206,E$4)</f>
        <v/>
      </c>
      <c r="F5" s="46">
        <f>COUNTIFS(Register!$B$2:$B$206,$A5,Register!$D$2:$D$206,F$4)</f>
        <v/>
      </c>
      <c r="G5" s="46">
        <f>COUNTIFS(Register!$B$2:$B$206,$A5,Register!$D$2:$D$206,G$4)</f>
        <v/>
      </c>
      <c r="H5" s="46">
        <f>SUM(B5:G5)</f>
        <v/>
      </c>
    </row>
    <row r="6" ht="15" customHeight="1" s="25">
      <c r="A6" s="45" t="inlineStr">
        <is>
          <t>Data Integrity</t>
        </is>
      </c>
      <c r="B6" s="46">
        <f>COUNTIFS(Register!$B$2:$B$206,$A6,Register!$D$2:$D$206,B$4)</f>
        <v/>
      </c>
      <c r="C6" s="46">
        <f>COUNTIFS(Register!$B$2:$B$206,$A6,Register!$D$2:$D$206,C$4)</f>
        <v/>
      </c>
      <c r="D6" s="46">
        <f>COUNTIFS(Register!$B$2:$B$206,$A6,Register!$D$2:$D$206,D$4)</f>
        <v/>
      </c>
      <c r="E6" s="46">
        <f>COUNTIFS(Register!$B$2:$B$206,$A6,Register!$D$2:$D$206,E$4)</f>
        <v/>
      </c>
      <c r="F6" s="46">
        <f>COUNTIFS(Register!$B$2:$B$206,$A6,Register!$D$2:$D$206,F$4)</f>
        <v/>
      </c>
      <c r="G6" s="46">
        <f>COUNTIFS(Register!$B$2:$B$206,$A6,Register!$D$2:$D$206,G$4)</f>
        <v/>
      </c>
      <c r="H6" s="46">
        <f>SUM(B6:G6)</f>
        <v/>
      </c>
    </row>
    <row r="7" ht="15" customHeight="1" s="25">
      <c r="A7" s="45" t="inlineStr">
        <is>
          <t>Observability</t>
        </is>
      </c>
      <c r="B7" s="46">
        <f>COUNTIFS(Register!$B$2:$B$206,$A7,Register!$D$2:$D$206,B$4)</f>
        <v/>
      </c>
      <c r="C7" s="46">
        <f>COUNTIFS(Register!$B$2:$B$206,$A7,Register!$D$2:$D$206,C$4)</f>
        <v/>
      </c>
      <c r="D7" s="46">
        <f>COUNTIFS(Register!$B$2:$B$206,$A7,Register!$D$2:$D$206,D$4)</f>
        <v/>
      </c>
      <c r="E7" s="46">
        <f>COUNTIFS(Register!$B$2:$B$206,$A7,Register!$D$2:$D$206,E$4)</f>
        <v/>
      </c>
      <c r="F7" s="46">
        <f>COUNTIFS(Register!$B$2:$B$206,$A7,Register!$D$2:$D$206,F$4)</f>
        <v/>
      </c>
      <c r="G7" s="46">
        <f>COUNTIFS(Register!$B$2:$B$206,$A7,Register!$D$2:$D$206,G$4)</f>
        <v/>
      </c>
      <c r="H7" s="46">
        <f>SUM(B7:G7)</f>
        <v/>
      </c>
    </row>
    <row r="8" ht="15" customHeight="1" s="25">
      <c r="A8" s="45" t="inlineStr">
        <is>
          <t>API Contract</t>
        </is>
      </c>
      <c r="B8" s="46">
        <f>COUNTIFS(Register!$B$2:$B$206,$A8,Register!$D$2:$D$206,B$4)</f>
        <v/>
      </c>
      <c r="C8" s="46">
        <f>COUNTIFS(Register!$B$2:$B$206,$A8,Register!$D$2:$D$206,C$4)</f>
        <v/>
      </c>
      <c r="D8" s="46">
        <f>COUNTIFS(Register!$B$2:$B$206,$A8,Register!$D$2:$D$206,D$4)</f>
        <v/>
      </c>
      <c r="E8" s="46">
        <f>COUNTIFS(Register!$B$2:$B$206,$A8,Register!$D$2:$D$206,E$4)</f>
        <v/>
      </c>
      <c r="F8" s="46">
        <f>COUNTIFS(Register!$B$2:$B$206,$A8,Register!$D$2:$D$206,F$4)</f>
        <v/>
      </c>
      <c r="G8" s="46">
        <f>COUNTIFS(Register!$B$2:$B$206,$A8,Register!$D$2:$D$206,G$4)</f>
        <v/>
      </c>
      <c r="H8" s="46">
        <f>SUM(B8:G8)</f>
        <v/>
      </c>
    </row>
    <row r="9" ht="15" customHeight="1" s="25">
      <c r="A9" s="45" t="inlineStr">
        <is>
          <t>Perf &amp; Architecture</t>
        </is>
      </c>
      <c r="B9" s="46">
        <f>COUNTIFS(Register!$B$2:$B$206,$A9,Register!$D$2:$D$206,B$4)</f>
        <v/>
      </c>
      <c r="C9" s="46">
        <f>COUNTIFS(Register!$B$2:$B$206,$A9,Register!$D$2:$D$206,C$4)</f>
        <v/>
      </c>
      <c r="D9" s="46">
        <f>COUNTIFS(Register!$B$2:$B$206,$A9,Register!$D$2:$D$206,D$4)</f>
        <v/>
      </c>
      <c r="E9" s="46">
        <f>COUNTIFS(Register!$B$2:$B$206,$A9,Register!$D$2:$D$206,E$4)</f>
        <v/>
      </c>
      <c r="F9" s="46">
        <f>COUNTIFS(Register!$B$2:$B$206,$A9,Register!$D$2:$D$206,F$4)</f>
        <v/>
      </c>
      <c r="G9" s="46">
        <f>COUNTIFS(Register!$B$2:$B$206,$A9,Register!$D$2:$D$206,G$4)</f>
        <v/>
      </c>
      <c r="H9" s="46">
        <f>SUM(B9:G9)</f>
        <v/>
      </c>
    </row>
    <row r="10" ht="15" customHeight="1" s="25">
      <c r="A10" s="45" t="inlineStr">
        <is>
          <t>Test &amp; CI/CD</t>
        </is>
      </c>
      <c r="B10" s="46">
        <f>COUNTIFS(Register!$B$2:$B$206,$A10,Register!$D$2:$D$206,B$4)</f>
        <v/>
      </c>
      <c r="C10" s="46">
        <f>COUNTIFS(Register!$B$2:$B$206,$A10,Register!$D$2:$D$206,C$4)</f>
        <v/>
      </c>
      <c r="D10" s="46">
        <f>COUNTIFS(Register!$B$2:$B$206,$A10,Register!$D$2:$D$206,D$4)</f>
        <v/>
      </c>
      <c r="E10" s="46">
        <f>COUNTIFS(Register!$B$2:$B$206,$A10,Register!$D$2:$D$206,E$4)</f>
        <v/>
      </c>
      <c r="F10" s="46">
        <f>COUNTIFS(Register!$B$2:$B$206,$A10,Register!$D$2:$D$206,F$4)</f>
        <v/>
      </c>
      <c r="G10" s="46">
        <f>COUNTIFS(Register!$B$2:$B$206,$A10,Register!$D$2:$D$206,G$4)</f>
        <v/>
      </c>
      <c r="H10" s="46">
        <f>SUM(B10:G10)</f>
        <v/>
      </c>
    </row>
    <row r="11" ht="15" customHeight="1" s="25">
      <c r="A11" s="45" t="inlineStr">
        <is>
          <t>Desktop UI</t>
        </is>
      </c>
      <c r="B11" s="46">
        <f>COUNTIFS(Register!$B$2:$B$206,$A11,Register!$D$2:$D$206,B$4)</f>
        <v/>
      </c>
      <c r="C11" s="46">
        <f>COUNTIFS(Register!$B$2:$B$206,$A11,Register!$D$2:$D$206,C$4)</f>
        <v/>
      </c>
      <c r="D11" s="46">
        <f>COUNTIFS(Register!$B$2:$B$206,$A11,Register!$D$2:$D$206,D$4)</f>
        <v/>
      </c>
      <c r="E11" s="46">
        <f>COUNTIFS(Register!$B$2:$B$206,$A11,Register!$D$2:$D$206,E$4)</f>
        <v/>
      </c>
      <c r="F11" s="46">
        <f>COUNTIFS(Register!$B$2:$B$206,$A11,Register!$D$2:$D$206,F$4)</f>
        <v/>
      </c>
      <c r="G11" s="46">
        <f>COUNTIFS(Register!$B$2:$B$206,$A11,Register!$D$2:$D$206,G$4)</f>
        <v/>
      </c>
      <c r="H11" s="46">
        <f>SUM(B11:G11)</f>
        <v/>
      </c>
    </row>
    <row r="12" ht="15" customHeight="1" s="25">
      <c r="A12" s="45" t="inlineStr">
        <is>
          <t>Total</t>
        </is>
      </c>
      <c r="B12" s="47">
        <f>SUM(B5:B11)</f>
        <v/>
      </c>
      <c r="C12" s="47">
        <f>SUM(C5:C11)</f>
        <v/>
      </c>
      <c r="D12" s="47">
        <f>SUM(D5:D11)</f>
        <v/>
      </c>
      <c r="E12" s="47">
        <f>SUM(E5:E11)</f>
        <v/>
      </c>
      <c r="F12" s="47">
        <f>SUM(F5:F11)</f>
        <v/>
      </c>
      <c r="G12" s="47">
        <f>SUM(G5:G11)</f>
        <v/>
      </c>
      <c r="H12" s="47">
        <f>SUM(H5:H11)</f>
        <v/>
      </c>
    </row>
    <row r="13" ht="15" customHeight="1" s="25">
      <c r="A13" s="45" t="n"/>
      <c r="B13" s="46" t="n"/>
      <c r="C13" s="46" t="n"/>
      <c r="D13" s="46" t="n"/>
      <c r="E13" s="46" t="n"/>
      <c r="F13" s="46" t="n"/>
      <c r="G13" s="46" t="n"/>
      <c r="H13" s="46" t="n"/>
    </row>
    <row r="14" ht="15" customHeight="1" s="25">
      <c r="A14" s="45" t="inlineStr">
        <is>
          <t>Status roll-up</t>
        </is>
      </c>
      <c r="B14" s="46" t="n"/>
      <c r="C14" s="46" t="n"/>
      <c r="D14" s="46" t="n"/>
      <c r="E14" s="46" t="n"/>
      <c r="F14" s="46" t="n"/>
      <c r="G14" s="46" t="n"/>
      <c r="H14" s="46" t="n"/>
    </row>
    <row r="15" ht="15" customHeight="1" s="25">
      <c r="A15" s="45" t="inlineStr">
        <is>
          <t>Open</t>
        </is>
      </c>
      <c r="B15" s="46">
        <f>COUNTIF(Register!$F$2:$F$206,$A15)</f>
        <v/>
      </c>
      <c r="C15" s="46" t="n"/>
      <c r="D15" s="46" t="n"/>
      <c r="E15" s="46" t="n"/>
      <c r="F15" s="46" t="n"/>
      <c r="G15" s="46" t="n"/>
      <c r="H15" s="46" t="n"/>
    </row>
    <row r="16" ht="15" customHeight="1" s="25">
      <c r="A16" s="45" t="inlineStr">
        <is>
          <t>Partially fixed</t>
        </is>
      </c>
      <c r="B16" s="46">
        <f>COUNTIF(Register!$F$2:$F$206,$A16)</f>
        <v/>
      </c>
      <c r="C16" s="46" t="n"/>
      <c r="D16" s="46" t="n"/>
      <c r="E16" s="46" t="n"/>
      <c r="F16" s="46" t="n"/>
      <c r="G16" s="46" t="n"/>
      <c r="H16" s="46" t="n"/>
    </row>
    <row r="17" ht="15" customHeight="1" s="25">
      <c r="A17" s="45" t="inlineStr">
        <is>
          <t>Fixed</t>
        </is>
      </c>
      <c r="B17" s="46">
        <f>COUNTIF(Register!$F$2:$F$206,"Fixed")</f>
        <v/>
      </c>
      <c r="C17" s="46" t="n"/>
      <c r="D17" s="46" t="n"/>
      <c r="E17" s="46" t="n"/>
      <c r="F17" s="46" t="n"/>
      <c r="G17" s="46" t="n"/>
      <c r="H17" s="46" t="n"/>
    </row>
    <row r="18" ht="15" customHeight="1" s="25">
      <c r="A18" s="45" t="inlineStr">
        <is>
          <t>Largely fixed (superseded)</t>
        </is>
      </c>
      <c r="B18" s="46">
        <f>COUNTIF(Register!$F$2:$F$206,$A18)</f>
        <v/>
      </c>
      <c r="C18" s="46" t="n"/>
      <c r="D18" s="46" t="n"/>
      <c r="E18" s="46" t="n"/>
      <c r="F18" s="46" t="n"/>
      <c r="G18" s="46" t="n"/>
      <c r="H18" s="46" t="n"/>
    </row>
    <row r="19" ht="15" customHeight="1" s="25">
      <c r="A19" s="45" t="inlineStr">
        <is>
          <t>Closed</t>
        </is>
      </c>
      <c r="B19" s="46">
        <f>COUNTIF(Register!$F$2:$F$206,$A19)</f>
        <v/>
      </c>
      <c r="C19" s="46" t="n"/>
      <c r="D19" s="46" t="n"/>
      <c r="E19" s="46" t="n"/>
      <c r="F19" s="46" t="n"/>
      <c r="G19" s="46" t="n"/>
      <c r="H19" s="46" t="n"/>
    </row>
    <row r="20" ht="15" customHeight="1" s="25">
      <c r="A20" s="45" t="inlineStr">
        <is>
          <t>Independently verified in code</t>
        </is>
      </c>
      <c r="B20" s="46">
        <f>COUNTIF(Register!$G$2:$G$206,"Verified in code")</f>
        <v/>
      </c>
      <c r="C20" s="46" t="n"/>
      <c r="D20" s="46" t="n"/>
      <c r="E20" s="46" t="n"/>
      <c r="F20" s="46" t="n"/>
      <c r="G20" s="46" t="n"/>
      <c r="H20" s="4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2026-08-04T14:04:17Z</dcterms:created>
  <dcterms:modified xmlns:dcterms="http://purl.org/dc/terms/" xmlns:xsi="http://www.w3.org/2001/XMLSchema-instance" xsi:type="dcterms:W3CDTF">2026-08-05T06:18:34Z</dcterms:modified>
  <cp:revision>0</cp:revision>
</cp:coreProperties>
</file>