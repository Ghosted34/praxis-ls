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gister" sheetId="1" state="visible" r:id="rId3"/>
    <sheet name="Summary" sheetId="2" state="visible" r:id="rId4"/>
  </sheets>
  <definedNames>
    <definedName function="false" hidden="true" localSheetId="0" name="_xlnm._FilterDatabase" vbProcedure="false">Register!$A$1:$H$212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<sst xmlns="http://schemas.openxmlformats.org/spreadsheetml/2006/main" count="1582" uniqueCount="582">
  <si>
    <t xml:space="preserve">ID</t>
  </si>
  <si>
    <t xml:space="preserve">Audit</t>
  </si>
  <si>
    <t xml:space="preserve">Finding</t>
  </si>
  <si>
    <t xml:space="preserve">Severity</t>
  </si>
  <si>
    <t xml:space="preserve">Fix class</t>
  </si>
  <si>
    <t xml:space="preserve">Status</t>
  </si>
  <si>
    <t xml:space="preserve">Verification</t>
  </si>
  <si>
    <t xml:space="preserve">Verification note / evidence</t>
  </si>
  <si>
    <t xml:space="preserve">SEC-C1</t>
  </si>
  <si>
    <t xml:space="preserve">Security</t>
  </si>
  <si>
    <t xml:space="preserve">Live production credentials and employee PII committed to the repo, in the one path CI is told not to scan</t>
  </si>
  <si>
    <t xml:space="preserve">Critical</t>
  </si>
  <si>
    <t xml:space="preserve">Process + purge</t>
  </si>
  <si>
    <t xml:space="preserve">Fixed</t>
  </si>
  <si>
    <t xml:space="preserve">Verified in code</t>
  </si>
  <si>
    <t xml:space="preserve">Scanner un-excluded AND pattern set widened; 7 credential files cleaned (5 more than the audit cited, incl. 2 Groq keys CI found). CREDENTIALS ROTATED BY OWNER 2026-08-04. History still contains them — purge declined, rotation makes it harmless.</t>
  </si>
  <si>
    <t xml:space="preserve">SEC-C2</t>
  </si>
  <si>
    <t xml:space="preserve">Logout does not end the session; the refresh token stays valid</t>
  </si>
  <si>
    <t xml:space="preserve">Code, quick</t>
  </si>
  <si>
    <t xml:space="preserve">Access tokens now carry `sid`; logout revokes the session from the TOKEN, not a body field the client never sent. Both issuance paths (login + refresh rotation) carry it — a test asserts every signAccessToken call site does. Response reports session_revoked honestly. Verified to FAIL 4/6 against the old service. Commit 809caad.</t>
  </si>
  <si>
    <t xml:space="preserve">SEC-C3</t>
  </si>
  <si>
    <t xml:space="preserve">No brute-force protection on any authentication endpoint; failed-login counter never enforced</t>
  </si>
  <si>
    <t xml:space="preserve">Limiters on all 11 credential surfaces across 3 tiers, AND the failed-login counter is now enforced as a decaying cooldown (migration 0495). 7 assertions on the curve.</t>
  </si>
  <si>
    <t xml:space="preserve">SEC-H1</t>
  </si>
  <si>
    <t xml:space="preserve">The AI assistant executes business writes with no permission check at all</t>
  </si>
  <si>
    <t xml:space="preserve">High</t>
  </si>
  <si>
    <t xml:space="preserve">Code</t>
  </si>
  <si>
    <t xml:space="preserve">Open</t>
  </si>
  <si>
    <t xml:space="preserve">As reported</t>
  </si>
  <si>
    <t xml:space="preserve">SEC-H2</t>
  </si>
  <si>
    <t xml:space="preserve">Platform Console credential-store routes have no capability gate</t>
  </si>
  <si>
    <t xml:space="preserve">requireCap on all 8 routes; settings.read/write + migration 0032; structural test asserts all 47 platform routes are gated.</t>
  </si>
  <si>
    <t xml:space="preserve">SEC-H3</t>
  </si>
  <si>
    <t xml:space="preserve">Request-body keys become SQL column identifiers on modules using the passthrough validator</t>
  </si>
  <si>
    <t xml:space="preserve">SEC-H4</t>
  </si>
  <si>
    <t xml:space="preserve">MOD-67 'edit' can take over any account, including the CEO, with no re-authentication</t>
  </si>
  <si>
    <t xml:space="preserve">SEC-H5</t>
  </si>
  <si>
    <t xml:space="preserve">Rate limiting is bypassable: trust proxy true with an IP-keyed in-memory store</t>
  </si>
  <si>
    <t xml:space="preserve">Config + code</t>
  </si>
  <si>
    <t xml:space="preserve">Redis-backed limiter store; trust proxy is now a hop count (TRUST_PROXY_HOPS), not `true`.</t>
  </si>
  <si>
    <t xml:space="preserve">SEC-H6</t>
  </si>
  <si>
    <t xml:space="preserve">Portal and platform accounts protected by an 8-char password, no complexity or breach check</t>
  </si>
  <si>
    <t xml:space="preserve">SEC-M1</t>
  </si>
  <si>
    <t xml:space="preserve">Access tokens are not session-bound: revocation does not revoke</t>
  </si>
  <si>
    <t xml:space="preserve">Medium</t>
  </si>
  <si>
    <t xml:space="preserve">SEC-M2</t>
  </si>
  <si>
    <t xml:space="preserve">killSession has no ownership predicate</t>
  </si>
  <si>
    <t xml:space="preserve">killSession is now always scoped to the acting user. Folded into the SEC-C2 fix. Commit 809caad.</t>
  </si>
  <si>
    <t xml:space="preserve">SEC-M3</t>
  </si>
  <si>
    <t xml:space="preserve">Document vault authorization is module-level, not record-level</t>
  </si>
  <si>
    <t xml:space="preserve">SEC-M4</t>
  </si>
  <si>
    <t xml:space="preserve">The Socket.IO handshake lets the client name its own tenant</t>
  </si>
  <si>
    <t xml:space="preserve">SEC-M5</t>
  </si>
  <si>
    <t xml:space="preserve">One JWT secret across all three auth tiers, and no tenant claim in any token</t>
  </si>
  <si>
    <t xml:space="preserve">Structural</t>
  </si>
  <si>
    <t xml:space="preserve">SEC-M6</t>
  </si>
  <si>
    <t xml:space="preserve">Platform tier has no session store, no revocation and no 2FA</t>
  </si>
  <si>
    <t xml:space="preserve">SEC-M7</t>
  </si>
  <si>
    <t xml:space="preserve">One database credential and one encryption key shared across all tenants</t>
  </si>
  <si>
    <t xml:space="preserve">SEC-M8</t>
  </si>
  <si>
    <t xml:space="preserve">CSP permits unsafe-inline scripts application-wide</t>
  </si>
  <si>
    <t xml:space="preserve">Config</t>
  </si>
  <si>
    <t xml:space="preserve">server.js: script-src ['self','unsafe-inline'], script-src-attr ['unsafe-inline']</t>
  </si>
  <si>
    <t xml:space="preserve">SEC-M9</t>
  </si>
  <si>
    <t xml:space="preserve">Dependency vulnerabilities present, gate non-blocking, no SAST or Dependabot</t>
  </si>
  <si>
    <t xml:space="preserve">CI</t>
  </si>
  <si>
    <t xml:space="preserve">ci.yaml:79 continue-on-error: true on npm audit</t>
  </si>
  <si>
    <t xml:space="preserve">SEC-L1</t>
  </si>
  <si>
    <t xml:space="preserve">Containers run as root; compose bind-mounts the document vault into them</t>
  </si>
  <si>
    <t xml:space="preserve">Low</t>
  </si>
  <si>
    <t xml:space="preserve">Config, quick</t>
  </si>
  <si>
    <t xml:space="preserve">SEC-L2</t>
  </si>
  <si>
    <t xml:space="preserve">Redis unauthenticated and keyspace not tenant-namespaced; invalidateGrants uses blocking KEYS</t>
  </si>
  <si>
    <t xml:space="preserve">SEC-L3</t>
  </si>
  <si>
    <t xml:space="preserve">Refresh token in web storage</t>
  </si>
  <si>
    <t xml:space="preserve">Code (blocked by M8, C2)</t>
  </si>
  <si>
    <t xml:space="preserve">SEC-L4</t>
  </si>
  <si>
    <t xml:space="preserve">Logger redaction misses refresh_token, access_token, password_hash, totp_secret_enc, secret_enc</t>
  </si>
  <si>
    <t xml:space="preserve">REDACT_PATHS widened; both top-level and nested forms generated from SENSITIVE_KEYS.</t>
  </si>
  <si>
    <t xml:space="preserve">SEC-L5</t>
  </si>
  <si>
    <t xml:space="preserve">The anonymous-surface test is shallow - matches authMiddleware anywhere in the router</t>
  </si>
  <si>
    <t xml:space="preserve">Test, quick</t>
  </si>
  <si>
    <t xml:space="preserve">SEC-L6</t>
  </si>
  <si>
    <t xml:space="preserve">src/middleware/audit.js is dead code, never imported or mounted</t>
  </si>
  <si>
    <t xml:space="preserve">Delete</t>
  </si>
  <si>
    <t xml:space="preserve">src/middleware/audit.js deleted — never imported or mounted, so it read as an active control during review.</t>
  </si>
  <si>
    <t xml:space="preserve">DI-5.5</t>
  </si>
  <si>
    <t xml:space="preserve">Data Integrity</t>
  </si>
  <si>
    <t xml:space="preserve">Asset depreciation never posts to the GL and records itself as posted</t>
  </si>
  <si>
    <t xml:space="preserve">Depreciation now reaches the GL: account_code + sourceDocRef, and a ledger rejection FAILS the call instead of setting posted=true with entry_id NULL. 11 assertions, verified to FAIL against the pre-fix file. Sweep found only asset+payroll; a grep-as-a-test blocks a third. Commit 62a9646. NOTE: existing bad rows need scripts/db/reconcile-depreciation.js.</t>
  </si>
  <si>
    <t xml:space="preserve">DI-5.1</t>
  </si>
  <si>
    <t xml:space="preserve">Inventory balance: no transaction, no lock, no DB floor</t>
  </si>
  <si>
    <t xml:space="preserve">Code + constraint</t>
  </si>
  <si>
    <t xml:space="preserve">inventory move() is now ONE transaction, reads the head FOR UPDATE, and applies a SIGNED delta in SQL with `WHERE qty_on_hand + $2 &gt;= 0` — so the floor is enforced by the database against the row it holds, not by a JS check that ran before the lock. Closes lost-update, the racy guard, and balance/journal divergence. 0497 adds CHECK (qty_on_hand &gt;= 0) as the last line.</t>
  </si>
  <si>
    <t xml:space="preserve">DI-5.2</t>
  </si>
  <si>
    <t xml:space="preserve">Shared CRUD kit writes business row, event and audit as three separate commits</t>
  </si>
  <si>
    <t xml:space="preserve">Code, mechanical</t>
  </si>
  <si>
    <t xml:space="preserve">shared/db/tx.js atomically(); create/update/archive in the CRUD kit are each one unit. 25 modules build on makeService, so one helper covers all of them. The archive ordering comment is kept but is no longer load-bearing — a failure now rolls back instead of stranding a soft_delete row asserting a deletion that never happened.</t>
  </si>
  <si>
    <t xml:space="preserve">DI-1.1</t>
  </si>
  <si>
    <t xml:space="preserve">~100 money/quantity columns with no CHECK constraint</t>
  </si>
  <si>
    <t xml:space="preserve">Migration + data probe</t>
  </si>
  <si>
    <t xml:space="preserve">Migration 0497: 71 CHECK constraints (66 non-negative, 5 strictly-positive rates) + asset.useful_life_months &gt; 0. All NOT VALID, so enforced on new writes immediately without failing on historical rows. CURATED not generated — stock_movement.qty is a SIGNED delta and is deliberately excluded, as are kpi_target.target_value and appraisal.actual_value. scripts/db/probe-money-constraints.js finds existing violations before VALIDATE.</t>
  </si>
  <si>
    <t xml:space="preserve">DI-1.2</t>
  </si>
  <si>
    <t xml:space="preserve">No cross-row sum invariants (over-allocation, over-justification)</t>
  </si>
  <si>
    <t xml:space="preserve">0497: advance.applied_amount &lt;= amount, regie_advance.justified+returned &lt;= amount. NOT VALID for the same reason.</t>
  </si>
  <si>
    <t xml:space="preserve">DI-2.1</t>
  </si>
  <si>
    <t xml:space="preserve">ON DELETE CASCADE on financial and inventory history</t>
  </si>
  <si>
    <t xml:space="preserve">Migration, careful</t>
  </si>
  <si>
    <t xml:space="preserve">Migration 0498: nine ON DELETE CASCADE FKs on financial and inventory history changed to RESTRICT (depreciation_schedule, payment_allocation, invoice_line, supplier_invoice_line, cash_request_payment, debt_repayment, stock_movement, close_checklist, payroll_run_item). Follows the ledger's own correct pattern: block the parent delete rather than silently destroy the child.</t>
  </si>
  <si>
    <t xml:space="preserve">DI-1.3</t>
  </si>
  <si>
    <t xml:space="preserve">Multi-currency ledger lines are stored but never reconciled to a base currency</t>
  </si>
  <si>
    <t xml:space="preserve">Migration + code</t>
  </si>
  <si>
    <t xml:space="preserve">DI-1.6</t>
  </si>
  <si>
    <t xml:space="preserve">doc_number is not unique anywhere</t>
  </si>
  <si>
    <t xml:space="preserve">Migration + dedupe</t>
  </si>
  <si>
    <t xml:space="preserve">0498: partial UNIQUE indexes on doc_number across all 9 document tables (WHERE NOT NULL, so drafts do not collide). No NOT VALID exists for uniqueness, so scripts/db/probe-doc-numbers.js must run first — it lists collisions before they become a failed deploy.</t>
  </si>
  <si>
    <t xml:space="preserve">DI-1.8</t>
  </si>
  <si>
    <t xml:space="preserve">tax_code effective windows can overlap, producing wrong VAT silently</t>
  </si>
  <si>
    <t xml:space="preserve">DI-1.9</t>
  </si>
  <si>
    <t xml:space="preserve">cached_receivables read but never written; credit limit inert</t>
  </si>
  <si>
    <t xml:space="preserve">DI-2.2</t>
  </si>
  <si>
    <t xml:space="preserve">295 of 351 foreign keys have no index on the referencing column</t>
  </si>
  <si>
    <t xml:space="preserve">Migration, online</t>
  </si>
  <si>
    <t xml:space="preserve">DI-2.4</t>
  </si>
  <si>
    <t xml:space="preserve">Sandbox actor-FK guard applied inconsistently</t>
  </si>
  <si>
    <t xml:space="preserve">Code + design</t>
  </si>
  <si>
    <t xml:space="preserve">DI-3.1</t>
  </si>
  <si>
    <t xml:space="preserve">Migration application is not atomic with its ledger entry</t>
  </si>
  <si>
    <t xml:space="preserve">Tooling</t>
  </si>
  <si>
    <t xml:space="preserve">DI-3.2</t>
  </si>
  <si>
    <t xml:space="preserve">A partial fleet upgrade leaves tenants on different schema versions</t>
  </si>
  <si>
    <t xml:space="preserve">DI-3.3</t>
  </si>
  <si>
    <t xml:space="preserve">Migration files and the live schema have already drifted (notification_preference)</t>
  </si>
  <si>
    <t xml:space="preserve">Verify + tooling</t>
  </si>
  <si>
    <t xml:space="preserve">DI-3.5</t>
  </si>
  <si>
    <t xml:space="preserve">No migration is reversible; no down concept exists in the tooling</t>
  </si>
  <si>
    <t xml:space="preserve">Policy</t>
  </si>
  <si>
    <t xml:space="preserve">Partially fixed</t>
  </si>
  <si>
    <t xml:space="preserve">New migrations must declare -- DOWN or -- IRREVERSIBLE (CI gate). The 92 pre-existing migrations are still irreversible and deliberately not retro-fitted.</t>
  </si>
  <si>
    <t xml:space="preserve">DI-5.3</t>
  </si>
  <si>
    <t xml:space="preserve">Receipt allocation reads unlocked and can over-allocate</t>
  </si>
  <si>
    <t xml:space="preserve">repo.openInvoices({forUpdate}) locks the invoice rows in the same order the FIFO allocation walks them (oldest first — also a consistent lock order, so two concurrent receipts cannot deadlock). Only post(), which writes allocations, locks; the read-only callers do not. Over-allocation made outstanding negative, which then HID the invoice from ageing and dunning because the query filters outstanding &gt; 0.</t>
  </si>
  <si>
    <t xml:space="preserve">DI-5.4</t>
  </si>
  <si>
    <t xml:space="preserve">Tax-code supersession splits across two transactions</t>
  </si>
  <si>
    <t xml:space="preserve">supersedeCode wraps expire + addCode in one transaction via atomically(); addCode joins rather than opening its own. Previously the expiry COMMITTED before the replacement was attempted, so a bad rate left NO row effective from that date — and every invoice from that date forward failed to post until someone inserted it by hand.</t>
  </si>
  <si>
    <t xml:space="preserve">DI-6.2</t>
  </si>
  <si>
    <t xml:space="preserve">Audit tamper-evidence chain declared but before_hash/after_hash never populated</t>
  </si>
  <si>
    <t xml:space="preserve">DI-6.3</t>
  </si>
  <si>
    <t xml:space="preserve">Financial and inventory mutations audited inconsistently; depends on service discipline</t>
  </si>
  <si>
    <t xml:space="preserve">Code + triggers</t>
  </si>
  <si>
    <t xml:space="preserve">DI-6.4</t>
  </si>
  <si>
    <t xml:space="preserve">stock_movement is mutable, cascade-deleted, and can be incomplete - no audit trail</t>
  </si>
  <si>
    <t xml:space="preserve">Migration</t>
  </si>
  <si>
    <t xml:space="preserve">DI-7.1</t>
  </si>
  <si>
    <t xml:space="preserve">Missing uniqueness on document numbers and payment allocations</t>
  </si>
  <si>
    <t xml:space="preserve">0497: UNIQUE (receipt_id, invoice_id) on payment_allocation — the same receipt could be allocated to one invoice twice. Plus the doc_number indexes in 0498.</t>
  </si>
  <si>
    <t xml:space="preserve">DI-1.4</t>
  </si>
  <si>
    <t xml:space="preserve">currency typing inconsistent - 8 columns FK to currency(code), 9 identical ones do not</t>
  </si>
  <si>
    <t xml:space="preserve">DI-1.5</t>
  </si>
  <si>
    <t xml:space="preserve">chart_of_accounts and other self-referencing hierarchies have no cycle guard</t>
  </si>
  <si>
    <t xml:space="preserve">0497: chart_of_accounts cannot be its own parent — a row made its own parent spun every recursive walk.</t>
  </si>
  <si>
    <t xml:space="preserve">DI-2.3</t>
  </si>
  <si>
    <t xml:space="preserve">No ON UPDATE clause on any foreign key</t>
  </si>
  <si>
    <t xml:space="preserve">Decision</t>
  </si>
  <si>
    <t xml:space="preserve">DI-3.4</t>
  </si>
  <si>
    <t xml:space="preserve">Duplicate migration numbers - correctly diagnosed and correctly left alone</t>
  </si>
  <si>
    <t xml:space="preserve">Prevention only</t>
  </si>
  <si>
    <t xml:space="preserve">DI-3.6</t>
  </si>
  <si>
    <t xml:space="preserve">EXCEPTION WHEN OTHERS THEN NULL in data-seeding migrations 0467/0468</t>
  </si>
  <si>
    <t xml:space="preserve">Forward-fix</t>
  </si>
  <si>
    <t xml:space="preserve">DI-4.1</t>
  </si>
  <si>
    <t xml:space="preserve">The RLS apparatus references a migration that does not exist</t>
  </si>
  <si>
    <t xml:space="preserve">Remove or implement</t>
  </si>
  <si>
    <t xml:space="preserve">The RLS apparatus is gone: RLS_READ_ENFORCE, queryWithContext, and the superuser warning. Confirmed zero CREATE POLICY / ROW LEVEL SECURITY anywhere in migrations/ — it set a GUC for policies that do not exist, costing a round-trip per read and filtering nothing while reading as though isolation were on.</t>
  </si>
  <si>
    <t xml:space="preserve">DI-4.2</t>
  </si>
  <si>
    <t xml:space="preserve">32 references to a non-existent shared.* schema</t>
  </si>
  <si>
    <t xml:space="preserve">Remove</t>
  </si>
  <si>
    <t xml:space="preserve">services/numbering.service.js and services/notifications.service.js deleted (verified zero importers each). push.service.js's `shared.push_subscription` fallback removed — the schema has never existed, so the branch could only ever return 'no table', and its sole caller was one of the deleted files.</t>
  </si>
  <si>
    <t xml:space="preserve">DI-5.6</t>
  </si>
  <si>
    <t xml:space="preserve">Tenant provisioning and sandbox wipe are not transactional</t>
  </si>
  <si>
    <t xml:space="preserve">DI-6.5</t>
  </si>
  <si>
    <t xml:space="preserve">Silent overwrite of financial figures; locked documents protected only in the service layer</t>
  </si>
  <si>
    <t xml:space="preserve">DI-7.2</t>
  </si>
  <si>
    <t xml:space="preserve">Missing indexes on columns that gate correctness-critical queries</t>
  </si>
  <si>
    <t xml:space="preserve">DI-1.7</t>
  </si>
  <si>
    <t xml:space="preserve">The section 23.14 dictionary invariant is one-directional</t>
  </si>
  <si>
    <t xml:space="preserve">OBS-A2</t>
  </si>
  <si>
    <t xml:space="preserve">Observability</t>
  </si>
  <si>
    <t xml:space="preserve">The health check is structurally incapable of failing - and it is the deploy gate</t>
  </si>
  <si>
    <t xml:space="preserve">Quick win</t>
  </si>
  <si>
    <t xml:space="preserve">/api/health/ready probes Postgres+Redis, 503s honestly. Verified with the DB down.</t>
  </si>
  <si>
    <t xml:space="preserve">OBS-A1</t>
  </si>
  <si>
    <t xml:space="preserve">There is no alerting. At all.</t>
  </si>
  <si>
    <t xml:space="preserve">Repo side wired + loud boot warning. MONITOR AND WEBHOOK CONFIGURED BY OWNER 2026-08-04.</t>
  </si>
  <si>
    <t xml:space="preserve">OBS-A3</t>
  </si>
  <si>
    <t xml:space="preserve">Redis outage boots the app silently degraded</t>
  </si>
  <si>
    <t xml:space="preserve">Redis boot failure is now ERROR + a fatal report naming exactly what degrades (sessions, rate limiting, identity cache, socket.io pub-sub, ALL job enqueueing), and readiness reports it. Still non-fatal — refusing to boot would turn a degraded cache into a total outage.</t>
  </si>
  <si>
    <t xml:space="preserve">OBS-A6</t>
  </si>
  <si>
    <t xml:space="preserve">Dead-lettered business events are a silent black hole</t>
  </si>
  <si>
    <t xml:space="preserve">DEAD is now distinguishable from FAILED (error + report vs warn), countDeadLetters() is the query that never existed, the worker sweep runs a census every pass and notifies on a new death then daily while a backlog stands, and /api/health/ready exposes dead_letters per tenant (degraded, not 503 — dropped events are a business failure, not a deploy blocker). 17 assertions incl. 'a retriable failure must NOT notify' and 'a census failure must not fail the drain'.</t>
  </si>
  <si>
    <t xml:space="preserve">OBS-E1</t>
  </si>
  <si>
    <t xml:space="preserve">No centralised error tracking of any kind</t>
  </si>
  <si>
    <t xml:space="preserve">shared/observability/error-reporter.js — every 5xx, uncaughtException and unhandledRejection reports with tenant/user/request_id/route/build. Dedupe + id normalisation + frame-drift stability + 20/min ceiling so the channel stays usable. 4xx and ZodError never reported. Commit e78a566.</t>
  </si>
  <si>
    <t xml:space="preserve">OBS-E2</t>
  </si>
  <si>
    <t xml:space="preserve">Frontend errors are completely invisible</t>
  </si>
  <si>
    <t xml:space="preserve">POST /api/client-errors + client/src/lib/error-reporting.ts covering render, window 'error' and unhandledrejection. ErrorBoundary's dead onError hook now reports by default. sendBeacon survives the post-crash reload. Commit e78a566.</t>
  </si>
  <si>
    <t xml:space="preserve">OBS-L1</t>
  </si>
  <si>
    <t xml:space="preserve">No HTTP access log exists at all - pino-http is a dependency, mounted nowhere</t>
  </si>
  <si>
    <t xml:space="preserve">pino-http mounted.</t>
  </si>
  <si>
    <t xml:space="preserve">OBS-L2</t>
  </si>
  <si>
    <t xml:space="preserve">The money path is entirely log-silent - zero logger calls in finance or accounting</t>
  </si>
  <si>
    <t xml:space="preserve">OBS-L3</t>
  </si>
  <si>
    <t xml:space="preserve">Almost no log line carries tenant or user, though AsyncLocalStorage already holds both</t>
  </si>
  <si>
    <t xml:space="preserve">pino mixin injects tenant+user into ALL ~120 call sites with zero edits; auth.js back-fills the user the context captured as null.</t>
  </si>
  <si>
    <t xml:space="preserve">OBS-M1</t>
  </si>
  <si>
    <t xml:space="preserve">No metrics of any kind, no dashboard, no baseline</t>
  </si>
  <si>
    <t xml:space="preserve">shared/observability/metrics.js + GET /api/metrics (Prometheus text). HTTP/db/job/auth/rbac counters and duration histograms. Hand-rolled, no new dependency; routes templated so uuids cannot explode cardinality. METRICS_TOKEN guards it when set.</t>
  </si>
  <si>
    <t xml:space="preserve">OBS-T1</t>
  </si>
  <si>
    <t xml:space="preserve">Reconstructing one failed request is effectively impossible</t>
  </si>
  <si>
    <t xml:space="preserve">Phases 2+4</t>
  </si>
  <si>
    <t xml:space="preserve">OBS-I1</t>
  </si>
  <si>
    <t xml:space="preserve">No runbook, no on-call, no incident process</t>
  </si>
  <si>
    <t xml:space="preserve">Process</t>
  </si>
  <si>
    <t xml:space="preserve">OBS-I2</t>
  </si>
  <si>
    <t xml:space="preserve">No rollback procedure and no artifact to roll back to</t>
  </si>
  <si>
    <t xml:space="preserve">Images tagged by commit and retained; scripts/rollback.sh added.</t>
  </si>
  <si>
    <t xml:space="preserve">OBS-A4</t>
  </si>
  <si>
    <t xml:space="preserve">No restart: policy on any service</t>
  </si>
  <si>
    <t xml:space="preserve">restart: unless-stopped on all five services; migrate stays 'no'.</t>
  </si>
  <si>
    <t xml:space="preserve">OBS-A5</t>
  </si>
  <si>
    <t xml:space="preserve">The worker is entirely unmonitored</t>
  </si>
  <si>
    <t xml:space="preserve">Worker job start/done now timed, per-queue duration histogram, completed/failed counters and worker-error counter. Liveness is a fact rather than an assumption.</t>
  </si>
  <si>
    <t xml:space="preserve">OBS-E3</t>
  </si>
  <si>
    <t xml:space="preserve">The correlation ID is minted, then thrown away; persisted nowhere</t>
  </si>
  <si>
    <t xml:space="preserve">Quick / Medium</t>
  </si>
  <si>
    <t xml:space="preserve">request_id is put into AsyncLocalStorage by tenant-context, emitted on every log line by the mixin, and stamped onto enqueued job payloads. Minted-then-discarded is fixed end to end.</t>
  </si>
  <si>
    <t xml:space="preserve">OBS-E4</t>
  </si>
  <si>
    <t xml:space="preserve">uncaughtException keeps a poisoned process alive</t>
  </si>
  <si>
    <t xml:space="preserve">Process now exits on uncaughtException; paired with OBS-A4.</t>
  </si>
  <si>
    <t xml:space="preserve">OBS-L4</t>
  </si>
  <si>
    <t xml:space="preserve">Sensitive data leaking into logs, including row values via pg err.detail</t>
  </si>
  <si>
    <t xml:space="preserve">Same fix as SEC-L4, incl. pg err.detail. Landed BEFORE any log shipping.</t>
  </si>
  <si>
    <t xml:space="preserve">OBS-L7</t>
  </si>
  <si>
    <t xml:space="preserve">Logs are neither durable nor shipped; lost on every deploy</t>
  </si>
  <si>
    <t xml:space="preserve">Rotation half: json-file capped at 50m x5 on all five services — unbounded growth on an unmonitored disk was a plausible CAUSE of an outage. Shipping off-box remains open.</t>
  </si>
  <si>
    <t xml:space="preserve">OBS-M2</t>
  </si>
  <si>
    <t xml:space="preserve">Business metrics unobservable though the data already exists</t>
  </si>
  <si>
    <t xml:space="preserve">OBS-T2</t>
  </si>
  <si>
    <t xml:space="preserve">No timing recorded anywhere</t>
  </si>
  <si>
    <t xml:space="preserve">HTTP duration histogram in the access-log middleware; job duration measured in workers.js (start/done were logged with elapsed never computed); db query duration on both query paths.</t>
  </si>
  <si>
    <t xml:space="preserve">OBS-T4</t>
  </si>
  <si>
    <t xml:space="preserve">Auth, RBAC and tenant middleware log nothing</t>
  </si>
  <si>
    <t xml:space="preserve">auth.js and rbac.js had ZERO logger calls. Failed authentication and permission denial are now logged and counted (praxis_auth_failures_total, praxis_rbac_denials_total) — a debugging gap and a credential-stuffing detection gap.</t>
  </si>
  <si>
    <t xml:space="preserve">OBS-I3</t>
  </si>
  <si>
    <t xml:space="preserve">Migrations have no rollback path and run before the app rolls; no automated backup</t>
  </si>
  <si>
    <t xml:space="preserve">OBS-I4</t>
  </si>
  <si>
    <t xml:space="preserve">The deploy has no real smoke test and no auto-rollback</t>
  </si>
  <si>
    <t xml:space="preserve">Smoke test can now fail and the deploy exits non-zero. Auto-rollback NOT wired — rollback.sh has never been executed, and automating an unproven recovery path is worse than manual.</t>
  </si>
  <si>
    <t xml:space="preserve">OBS-I6</t>
  </si>
  <si>
    <t xml:space="preserve">Single-host topology with no capacity signal</t>
  </si>
  <si>
    <t xml:space="preserve">Deeper</t>
  </si>
  <si>
    <t xml:space="preserve">OBS-A7</t>
  </si>
  <si>
    <t xml:space="preserve">Failed BullMQ jobs accumulate unwatched</t>
  </si>
  <si>
    <t xml:space="preserve">BullMQ `failed` fires per ATTEMPT; attempts vs exhaustion are now distinguished, counted by outcome, and only terminal failure is reported — same reasoning as OBS-A6.</t>
  </si>
  <si>
    <t xml:space="preserve">OBS-L5</t>
  </si>
  <si>
    <t xml:space="preserve">Level discipline inverted - real failures logged at warn, stacks discarded</t>
  </si>
  <si>
    <t xml:space="preserve">OBS-L6</t>
  </si>
  <si>
    <t xml:space="preserve">The runbook documents a log location that does not exist</t>
  </si>
  <si>
    <t xml:space="preserve">DEPLOYMENT.md claimed logs land in ./logs. Nothing ever wrote there. Corrected to stdout + the json-file driver, with the rotation caps now set.</t>
  </si>
  <si>
    <t xml:space="preserve">OBS-M3</t>
  </si>
  <si>
    <t xml:space="preserve">Slow queries warn but are never measured</t>
  </si>
  <si>
    <t xml:space="preserve">Every query is timed into a histogram, not just those over a hardcoded 500ms; threshold is SLOW_QUERY_MS and slow queries are counted.</t>
  </si>
  <si>
    <t xml:space="preserve">OBS-T3</t>
  </si>
  <si>
    <t xml:space="preserve">No cross-process correlation into workers</t>
  </si>
  <si>
    <t xml:space="preserve">queue-producer stamps {tenant,user_id,request_id} onto every job; workers.js restores it into AsyncLocalStorage, so a failed job's log lines carry the request that enqueued it.</t>
  </si>
  <si>
    <t xml:space="preserve">OBS-I5</t>
  </si>
  <si>
    <t xml:space="preserve">Deploys are unattributed and unannounced</t>
  </si>
  <si>
    <t xml:space="preserve">Build identity + deploy announcements to ALERT_WEBHOOK_URL on start/success/failure.</t>
  </si>
  <si>
    <t xml:space="preserve">API-F1</t>
  </si>
  <si>
    <t xml:space="preserve">API Contract</t>
  </si>
  <si>
    <t xml:space="preserve">Eighteen deliberate client errors are returned to consumers as 500 INTERNAL_ERROR</t>
  </si>
  <si>
    <t xml:space="preserve">Code (BC)</t>
  </si>
  <si>
    <t xml:space="preserve">error-handler honours err.status for 4xx; thrown 5xx still flattens to a generic 500. Fixed BEFORE alerting went live.</t>
  </si>
  <si>
    <t xml:space="preserve">API-F6</t>
  </si>
  <si>
    <t xml:space="preserve">Two unrelated resources share the base path /inbound</t>
  </si>
  <si>
    <t xml:space="preserve">sales/inbound_intake moved to /intake; 4 client callers updated; waiver list now empty and the boot guard is unconditional. BREAKING.</t>
  </si>
  <si>
    <t xml:space="preserve">API-F18</t>
  </si>
  <si>
    <t xml:space="preserve">There is no versioning of any kind - no prefix, header, sunset or deprecation mechanism</t>
  </si>
  <si>
    <t xml:space="preserve">API-F20</t>
  </si>
  <si>
    <t xml:space="preserve">Platform secret management has no capability check (8 routes)</t>
  </si>
  <si>
    <t xml:space="preserve">Same fix as SEC-H2.</t>
  </si>
  <si>
    <t xml:space="preserve">API-F30</t>
  </si>
  <si>
    <t xml:space="preserve">There is no mechanism that would catch a contract regression</t>
  </si>
  <si>
    <t xml:space="preserve">CI + test</t>
  </si>
  <si>
    <t xml:space="preserve">API-F2</t>
  </si>
  <si>
    <t xml:space="preserve">Three different response shapes for 'your input was invalid'</t>
  </si>
  <si>
    <t xml:space="preserve">API-F15</t>
  </si>
  <si>
    <t xml:space="preserve">60 write routes accept an unvalidated body (17% of writes)</t>
  </si>
  <si>
    <t xml:space="preserve">API-F16</t>
  </si>
  <si>
    <t xml:space="preserve">Query and path parameters are almost never validated</t>
  </si>
  <si>
    <t xml:space="preserve">API-F19</t>
  </si>
  <si>
    <t xml:space="preserve">Modules can vanish from the API without any error</t>
  </si>
  <si>
    <t xml:space="preserve">Additive</t>
  </si>
  <si>
    <t xml:space="preserve">Skipped modules recorded, logged at error, and surfaced on /api/health/ready.</t>
  </si>
  <si>
    <t xml:space="preserve">API-F21</t>
  </si>
  <si>
    <t xml:space="preserve">Structurally identical lifecycle endpoints require different permissions</t>
  </si>
  <si>
    <t xml:space="preserve">API-F25</t>
  </si>
  <si>
    <t xml:space="preserve">No API spec exists; the one artefact that does is 19% complete and has drifted</t>
  </si>
  <si>
    <t xml:space="preserve">Docs</t>
  </si>
  <si>
    <t xml:space="preserve">API-F26</t>
  </si>
  <si>
    <t xml:space="preserve">No list endpoint reports a total, so no consumer can paginate</t>
  </si>
  <si>
    <t xml:space="preserve">TOTAL_COL/splitTotal added in query-helpers.js and wired into 4 finance repos (final_invoice, journal_entry, proforma, smart_receivables) via commit 9c5337d, surfaced as X-Total-Count. 198 of 202 collection GETs still return a bare array</t>
  </si>
  <si>
    <t xml:space="preserve">API-F27</t>
  </si>
  <si>
    <t xml:space="preserve">17 list endpoints have no LIMIT at all, including /sessions and /permissions</t>
  </si>
  <si>
    <t xml:space="preserve">API-F3</t>
  </si>
  <si>
    <t xml:space="preserve">Middleware-level errors omit request_id</t>
  </si>
  <si>
    <t xml:space="preserve">API-F4</t>
  </si>
  <si>
    <t xml:space="preserve">A platform-host request to the tenant API returns 500</t>
  </si>
  <si>
    <t xml:space="preserve">API-F7</t>
  </si>
  <si>
    <t xml:space="preserve">/portal and /portals are different products</t>
  </si>
  <si>
    <t xml:space="preserve">API-F8</t>
  </si>
  <si>
    <t xml:space="preserve">Resource-name pluralisation is ~63/37</t>
  </si>
  <si>
    <t xml:space="preserve">API-F9</t>
  </si>
  <si>
    <t xml:space="preserve">Module-to-URL mapping is not derivable, and three modules claim the tenant root</t>
  </si>
  <si>
    <t xml:space="preserve">API-F10</t>
  </si>
  <si>
    <t xml:space="preserve">Grouping depth is arbitrary</t>
  </si>
  <si>
    <t xml:space="preserve">API-F11</t>
  </si>
  <si>
    <t xml:space="preserve">Two idioms for the same operation: lifecycle transitions</t>
  </si>
  <si>
    <t xml:space="preserve">API-F12</t>
  </si>
  <si>
    <t xml:space="preserve">DELETE means two different things (hard delete vs soft archive)</t>
  </si>
  <si>
    <t xml:space="preserve">API-F17</t>
  </si>
  <si>
    <t xml:space="preserve">PATCH bodies are create.partial(), so every writable field is patchable</t>
  </si>
  <si>
    <t xml:space="preserve">API-F22</t>
  </si>
  <si>
    <t xml:space="preserve">In Smart Comms, 'view' authorises writes</t>
  </si>
  <si>
    <t xml:space="preserve">API-F23</t>
  </si>
  <si>
    <t xml:space="preserve">Authenticated-but-ungated endpoints are correct, but undeclared</t>
  </si>
  <si>
    <t xml:space="preserve">API-F28</t>
  </si>
  <si>
    <t xml:space="preserve">Filtering is undeclared, per-repo, and silently ignores typos</t>
  </si>
  <si>
    <t xml:space="preserve">Docs + code (BC)</t>
  </si>
  <si>
    <t xml:space="preserve">API-F29</t>
  </si>
  <si>
    <t xml:space="preserve">Sorting is not exposed anywhere</t>
  </si>
  <si>
    <t xml:space="preserve">API-F5</t>
  </si>
  <si>
    <t xml:space="preserve">188 error codes, no registry</t>
  </si>
  <si>
    <t xml:space="preserve">API-F13</t>
  </si>
  <si>
    <t xml:space="preserve">Identity in the body instead of the URL, and inverted nesting</t>
  </si>
  <si>
    <t xml:space="preserve">API-F14</t>
  </si>
  <si>
    <t xml:space="preserve">Reads that are POSTs, and one read that writes</t>
  </si>
  <si>
    <t xml:space="preserve">API-F24</t>
  </si>
  <si>
    <t xml:space="preserve">Unauthenticated routes - reviewed, all justified</t>
  </si>
  <si>
    <t xml:space="preserve">No action (positive finding)</t>
  </si>
  <si>
    <t xml:space="preserve">Closed</t>
  </si>
  <si>
    <t xml:space="preserve">PERF-S1</t>
  </si>
  <si>
    <t xml:space="preserve">Perf &amp; Architecture</t>
  </si>
  <si>
    <t xml:space="preserve">Tenant connection model caps the product at ~12 active tenants per API process</t>
  </si>
  <si>
    <t xml:space="preserve">registry.service.js:78 one pg.Pool per tenant, max = TENANT_POOL_MAX (env.js:66 default 8); unbounded Map, no eviction, no PgBouncer</t>
  </si>
  <si>
    <t xml:space="preserve">PERF-S2</t>
  </si>
  <si>
    <t xml:space="preserve">Three pool checkouts and three SET search_path round-trips per request</t>
  </si>
  <si>
    <t xml:space="preserve">PERF-S3</t>
  </si>
  <si>
    <t xml:space="preserve">123 of 126 tables sort by an unindexed created_at - 462x speedup available</t>
  </si>
  <si>
    <t xml:space="preserve">Migration 0496 adds a created_at index to all 127 tenant tables that declare one (DDL-parsed: zero were indexed). Measured 462x. Plain CREATE INDEX because the migrator's multi-statement query is an implicit transaction block, where CONCURRENTLY cannot run. Targets verified against the DDL — but NOT YET EXECUTED. Commit 537a4af.</t>
  </si>
  <si>
    <t xml:space="preserve">PERF-S4</t>
  </si>
  <si>
    <t xml:space="preserve">Per-request recursive CTE over an unindexed tree (scope.parent_scope_id)</t>
  </si>
  <si>
    <t xml:space="preserve">Quick + structural</t>
  </si>
  <si>
    <t xml:space="preserve">PERF-S5</t>
  </si>
  <si>
    <t xml:space="preserve">Notification fan-out is an N+1 inside the business transaction</t>
  </si>
  <si>
    <t xml:space="preserve">PERF-S6</t>
  </si>
  <si>
    <t xml:space="preserve">Every write pays 4-6 extra sequential round-trips</t>
  </si>
  <si>
    <t xml:space="preserve">PERF-S7</t>
  </si>
  <si>
    <t xml:space="preserve">No HTTP compression anywhere in the stack</t>
  </si>
  <si>
    <t xml:space="preserve">PERF-S8</t>
  </si>
  <si>
    <t xml:space="preserve">The entire frontend loads on first paint; code splitting is cosmetic</t>
  </si>
  <si>
    <t xml:space="preserve">PERF-S9</t>
  </si>
  <si>
    <t xml:space="preserve">invalidateGrants() blocks Redis and flushes every tenant</t>
  </si>
  <si>
    <t xml:space="preserve">PERF-S10</t>
  </si>
  <si>
    <t xml:space="preserve">hostCache is unbounded and keyed by attacker-controlled input</t>
  </si>
  <si>
    <t xml:space="preserve">PERF-S11</t>
  </si>
  <si>
    <t xml:space="preserve">13 BullMQ workers share a single Redis connection</t>
  </si>
  <si>
    <t xml:space="preserve">PERF-S12</t>
  </si>
  <si>
    <t xml:space="preserve">Socket.IO has no Redis adapter - realtime is single-process only</t>
  </si>
  <si>
    <t xml:space="preserve">PERF-S13</t>
  </si>
  <si>
    <t xml:space="preserve">A full Chromium process is spawned per PDF</t>
  </si>
  <si>
    <t xml:space="preserve">PERF-S14</t>
  </si>
  <si>
    <t xml:space="preserve">Context providers defeat memoization app-wide</t>
  </si>
  <si>
    <t xml:space="preserve">PERF-S15</t>
  </si>
  <si>
    <t xml:space="preserve">No client-side request cache; unconditional refetch and background polling</t>
  </si>
  <si>
    <t xml:space="preserve">PERF-S16</t>
  </si>
  <si>
    <t xml:space="preserve">Leading-wildcard ILIKE search guarantees a full scan</t>
  </si>
  <si>
    <t xml:space="preserve">PERF-S17</t>
  </si>
  <si>
    <t xml:space="preserve">OFFSET pagination degrades and spills to disk</t>
  </si>
  <si>
    <t xml:space="preserve">Structural (BC)</t>
  </si>
  <si>
    <t xml:space="preserve">PERF-S18</t>
  </si>
  <si>
    <t xml:space="preserve">No global rate limiting - noisy-neighbour risk across tenants</t>
  </si>
  <si>
    <t xml:space="preserve">PERF-S19</t>
  </si>
  <si>
    <t xml:space="preserve">50 repos hand-roll an SQL builder that already exists</t>
  </si>
  <si>
    <t xml:space="preserve">PERF-S20</t>
  </si>
  <si>
    <t xml:space="preserve">SQL identifiers are interpolated from object keys with no enforcement</t>
  </si>
  <si>
    <t xml:space="preserve">TC-C1</t>
  </si>
  <si>
    <t xml:space="preserve">Test &amp; CI/CD</t>
  </si>
  <si>
    <t xml:space="preserve">Multi-tenant isolation (registry.service.js) - 0 of 10 functions covered</t>
  </si>
  <si>
    <t xml:space="preserve">TC-C2</t>
  </si>
  <si>
    <t xml:space="preserve">authMiddleware() uncovered; the patched token-replay fix has no regression test</t>
  </si>
  <si>
    <t xml:space="preserve">Quick</t>
  </si>
  <si>
    <t xml:space="preserve">TC-C3</t>
  </si>
  <si>
    <t xml:space="preserve">rbacCheck() and ceoCheck() uncovered - enforcement paths never run in a test</t>
  </si>
  <si>
    <t xml:space="preserve">TC-C4</t>
  </si>
  <si>
    <t xml:space="preserve">identity-cache.js - 0 of 31 functions; grants, scope closure, invalidation</t>
  </si>
  <si>
    <t xml:space="preserve">TC-D1</t>
  </si>
  <si>
    <t xml:space="preserve">No rollback; docker image prune -f destroys the previous build</t>
  </si>
  <si>
    <t xml:space="preserve">docker image prune no longer destroys the previous build; KEEP_IMAGES deep.</t>
  </si>
  <si>
    <t xml:space="preserve">TC-D2</t>
  </si>
  <si>
    <t xml:space="preserve">Migrations run pre-roll, no backup, zero down-migrations</t>
  </si>
  <si>
    <t xml:space="preserve">Quick / process</t>
  </si>
  <si>
    <t xml:space="preserve">pg_dump before migrations, fatal if it fails; reversibility convention + CI gate for new migrations.</t>
  </si>
  <si>
    <t xml:space="preserve">TC-CI1</t>
  </si>
  <si>
    <t xml:space="preserve">main is unprotected; 45% direct pushes; each green push auto-deploys</t>
  </si>
  <si>
    <t xml:space="preserve">TC-C5</t>
  </si>
  <si>
    <t xml:space="preserve">Money services 0% function coverage; only the rules layer is tested</t>
  </si>
  <si>
    <t xml:space="preserve">TC-C6</t>
  </si>
  <si>
    <t xml:space="preserve">All 4 integration suites permanently skipped - 11 tests dark in CI</t>
  </si>
  <si>
    <t xml:space="preserve">TC-C7</t>
  </si>
  <si>
    <t xml:space="preserve">WMS/inventory 7.3% functions - no unit or integration coverage</t>
  </si>
  <si>
    <t xml:space="preserve">TC-C8</t>
  </si>
  <si>
    <t xml:space="preserve">Orchestration outbox 0% - at-least-once idempotency unverified</t>
  </si>
  <si>
    <t xml:space="preserve">TC-C9</t>
  </si>
  <si>
    <t xml:space="preserve">Platform / tenant-provisioning surface 0%</t>
  </si>
  <si>
    <t xml:space="preserve">TC-C10</t>
  </si>
  <si>
    <t xml:space="preserve">Portal auth (external, customer-facing) 3.2% functions</t>
  </si>
  <si>
    <t xml:space="preserve">Quick / deeper</t>
  </si>
  <si>
    <t xml:space="preserve">TC-C12</t>
  </si>
  <si>
    <t xml:space="preserve">No API-level or E2E test; the middleware chain never runs as a chain</t>
  </si>
  <si>
    <t xml:space="preserve">TC-Q2</t>
  </si>
  <si>
    <t xml:space="preserve">refresh() untested; only its extracted predicate is</t>
  </si>
  <si>
    <t xml:space="preserve">TC-Q4</t>
  </si>
  <si>
    <t xml:space="preserve">The money-path test mocks away determination and GL posting</t>
  </si>
  <si>
    <t xml:space="preserve">TC-CI6</t>
  </si>
  <si>
    <t xml:space="preserve">Migrations are never executed in CI; the first run is production</t>
  </si>
  <si>
    <t xml:space="preserve">TC-CI7</t>
  </si>
  <si>
    <t xml:space="preserve">The built image is never started; boot failures reach deploy</t>
  </si>
  <si>
    <t xml:space="preserve">TC-CI8</t>
  </si>
  <si>
    <t xml:space="preserve">npm install not npm ci - CI does not test the dependency tree that gets deployed</t>
  </si>
  <si>
    <t xml:space="preserve">TC-D3</t>
  </si>
  <si>
    <t xml:space="preserve">migrateAllTenants has no containment; mixed-fleet state on failure</t>
  </si>
  <si>
    <t xml:space="preserve">TC-D4</t>
  </si>
  <si>
    <t xml:space="preserve">/api/health is shallow; the deploy gate cannot see a dead database</t>
  </si>
  <si>
    <t xml:space="preserve">Deploy gate now targets readiness, not liveness.</t>
  </si>
  <si>
    <t xml:space="preserve">TC-D5</t>
  </si>
  <si>
    <t xml:space="preserve">CI holds a long-lived (likely root) SSH session on production</t>
  </si>
  <si>
    <t xml:space="preserve">TC-D6</t>
  </si>
  <si>
    <t xml:space="preserve">No pre-production environment for builds (deliberate; the PRD contradicts it)</t>
  </si>
  <si>
    <t xml:space="preserve">TC-E1</t>
  </si>
  <si>
    <t xml:space="preserve">Production .env is hand-maintained and validated only at boot, post-migration</t>
  </si>
  <si>
    <t xml:space="preserve">TC-R2</t>
  </si>
  <si>
    <t xml:space="preserve">A running build cannot identify itself</t>
  </si>
  <si>
    <t xml:space="preserve">BUILD_SHA/BUILD_TIME baked into the image, surfaced on both health endpoints.</t>
  </si>
  <si>
    <t xml:space="preserve">TC-CI2</t>
  </si>
  <si>
    <t xml:space="preserve">main is red on 15% of runs; no always-deployable branch</t>
  </si>
  <si>
    <t xml:space="preserve">TC-C11</t>
  </si>
  <si>
    <t xml:space="preserve">Frontend suite is presentational only; money, permissions and Live/Test untested; platform-console at zero</t>
  </si>
  <si>
    <t xml:space="preserve">Partially addressed</t>
  </si>
  <si>
    <t xml:space="preserve">Client test files have grown from 3 to 15 since the audit; platform-console still at zero</t>
  </si>
  <si>
    <t xml:space="preserve">TC-Q1</t>
  </si>
  <si>
    <t xml:space="preserve">Coverage inflation - line coverage inflated by import-time execution</t>
  </si>
  <si>
    <t xml:space="preserve">TC-Q3</t>
  </si>
  <si>
    <t xml:space="preserve">Hand-rolled regex SQL fakes silently absorb query changes</t>
  </si>
  <si>
    <t xml:space="preserve">TC-Q6</t>
  </si>
  <si>
    <t xml:space="preserve">auth-coverage matches by function name; floor of 50 vs 100 modules</t>
  </si>
  <si>
    <t xml:space="preserve">TC-CI3</t>
  </si>
  <si>
    <t xml:space="preserve">Coverage is never measured in CI</t>
  </si>
  <si>
    <t xml:space="preserve">TC-CI5</t>
  </si>
  <si>
    <t xml:space="preserve">Security scanning is 5 regex patterns over the working tree only; no SAST</t>
  </si>
  <si>
    <t xml:space="preserve">Patterns widened (DB/SMTP/conn-string/more prefixes); -e bug fixed; false positives tightened.</t>
  </si>
  <si>
    <t xml:space="preserve">TC-CI10</t>
  </si>
  <si>
    <t xml:space="preserve">No backend type-check, and lint warnings never fail</t>
  </si>
  <si>
    <t xml:space="preserve">TC-D7</t>
  </si>
  <si>
    <t xml:space="preserve">The deployed tree is mutable and the deploy is not pinned to an artifact</t>
  </si>
  <si>
    <t xml:space="preserve">TC-D8</t>
  </si>
  <si>
    <t xml:space="preserve">CI has no concurrency group; trigger SHA != deployed SHA</t>
  </si>
  <si>
    <t xml:space="preserve">TC-E2</t>
  </si>
  <si>
    <t xml:space="preserve">Publicly known dev defaults, guarded only by NODE_ENV</t>
  </si>
  <si>
    <t xml:space="preserve">TC-E3</t>
  </si>
  <si>
    <t xml:space="preserve">No rotation story for anything; ENCRYPTION_KEY effectively unrotatable</t>
  </si>
  <si>
    <t xml:space="preserve">Medium-High</t>
  </si>
  <si>
    <t xml:space="preserve">TC-E4</t>
  </si>
  <si>
    <t xml:space="preserve">The secret scan is blind to git history; documented past exposure unverified</t>
  </si>
  <si>
    <t xml:space="preserve">Quick to check</t>
  </si>
  <si>
    <t xml:space="preserve">scripts/scan-history-secrets.sh. RUN: the Groq key spans 177 commits from 51b57ae (2026-07-06) to HEAD. Purge declined; rotation done instead.</t>
  </si>
  <si>
    <t xml:space="preserve">TC-R3</t>
  </si>
  <si>
    <t xml:space="preserve">Deploys are not traceable to commits</t>
  </si>
  <si>
    <t xml:space="preserve">TC-R1</t>
  </si>
  <si>
    <t xml:space="preserve">There are no releases, tags or changelog; version frozen at 0.1.0</t>
  </si>
  <si>
    <t xml:space="preserve">TC-Q5</t>
  </si>
  <si>
    <t xml:space="preserve">Registration-only tests read as behavioural coverage</t>
  </si>
  <si>
    <t xml:space="preserve">Low-Medium</t>
  </si>
  <si>
    <t xml:space="preserve">Classify</t>
  </si>
  <si>
    <t xml:space="preserve">TC-R4</t>
  </si>
  <si>
    <t xml:space="preserve">Merge commits carry the least information; commit messages are the changelog</t>
  </si>
  <si>
    <t xml:space="preserve">TC-CI4</t>
  </si>
  <si>
    <t xml:space="preserve">npm audit reports but does not block, with no expiry</t>
  </si>
  <si>
    <t xml:space="preserve">TC-F2</t>
  </si>
  <si>
    <t xml:space="preserve">--runInBand costs 3x runtime for no observed benefit</t>
  </si>
  <si>
    <t xml:space="preserve">TC-F3</t>
  </si>
  <si>
    <t xml:space="preserve">Expected-error noise in the CI log trains people to ignore red output</t>
  </si>
  <si>
    <t xml:space="preserve">TC-F1</t>
  </si>
  <si>
    <t xml:space="preserve">No flakiness across 90 runs - measured, not assumed</t>
  </si>
  <si>
    <t xml:space="preserve">TC-CI9</t>
  </si>
  <si>
    <t xml:space="preserve">Pipeline speed is not a problem</t>
  </si>
  <si>
    <t xml:space="preserve">UI-F1</t>
  </si>
  <si>
    <t xml:space="preserve">Desktop UI</t>
  </si>
  <si>
    <t xml:space="preserve">The home screen is a static HTML mock inside an iframe (1,440 lines of raw assets)</t>
  </si>
  <si>
    <t xml:space="preserve">UI-F2</t>
  </si>
  <si>
    <t xml:space="preserve">There is no desktop breakpoint - the entire app lays out at 640px</t>
  </si>
  <si>
    <t xml:space="preserve">sm: 216 and lg: 30 unchanged since the audit; xl: has moved 0 -&gt; 3 and 2xl: 0 -&gt; 1, so the work has barely started</t>
  </si>
  <si>
    <t xml:space="preserve">UI-F4</t>
  </si>
  <si>
    <t xml:space="preserve">565 form fields render a label with no association to their control</t>
  </si>
  <si>
    <t xml:space="preserve">Mechanical</t>
  </si>
  <si>
    <t xml:space="preserve">aria-invalid 0 -&gt; 12 and aria-describedby 0 -&gt; 19 since the audit</t>
  </si>
  <si>
    <t xml:space="preserve">UI-F5</t>
  </si>
  <si>
    <t xml:space="preserve">The documented way to build a screen does not exist</t>
  </si>
  <si>
    <t xml:space="preserve">Docs + code</t>
  </si>
  <si>
    <t xml:space="preserve">UI-A2</t>
  </si>
  <si>
    <t xml:space="preserve">features/sales/ui.tsx is a shadow design system imported by 10 feature areas</t>
  </si>
  <si>
    <t xml:space="preserve">UI-F3</t>
  </si>
  <si>
    <t xml:space="preserve">Every page self-caps at 1152px (mx-auto max-w-6xl at 86 call sites)</t>
  </si>
  <si>
    <t xml:space="preserve">Largely fixed</t>
  </si>
  <si>
    <t xml:space="preserve">max-w-6xl down from 86 to 2; replaced by semantic max-w-standard / max-w-wide / max-w-reading tokens</t>
  </si>
  <si>
    <t xml:space="preserve">UI-F6</t>
  </si>
  <si>
    <t xml:space="preserve">Duplication: the same UI reimplemented instead of shared</t>
  </si>
  <si>
    <t xml:space="preserve">UI-F7</t>
  </si>
  <si>
    <t xml:space="preserve">Component architecture: god files and no page-level decomposition</t>
  </si>
  <si>
    <t xml:space="preserve">UI-F13</t>
  </si>
  <si>
    <t xml:space="preserve">Accessibility: .micro at 3.01:1 contrast, menu keyboard nav, heading structure</t>
  </si>
  <si>
    <t xml:space="preserve">UI-F16</t>
  </si>
  <si>
    <t xml:space="preserve">Tech stack gaps: no frontend tests, no a11y lint</t>
  </si>
  <si>
    <t xml:space="preserve">UI-A3</t>
  </si>
  <si>
    <t xml:space="preserve">Local re-implementations found only by reading (Segmented x4, Panel x6, FormButtons x7)</t>
  </si>
  <si>
    <t xml:space="preserve">UI-A4</t>
  </si>
  <si>
    <t xml:space="preserve">Raw JSON shown to end users</t>
  </si>
  <si>
    <t xml:space="preserve">UI-F8</t>
  </si>
  <si>
    <t xml:space="preserve">Data fetching: no cache, duplicate requests, client-side filtering over a truncated 50-row window</t>
  </si>
  <si>
    <t xml:space="preserve">Reclassified by the audit as a correctness defect, not performance. Finance hub fixed server-side in commit 9c5337d; other hubs outstanding</t>
  </si>
  <si>
    <t xml:space="preserve">UI-F9</t>
  </si>
  <si>
    <t xml:space="preserve">Responsive failures beyond the breakpoint gap</t>
  </si>
  <si>
    <t xml:space="preserve">UI-F10</t>
  </si>
  <si>
    <t xml:space="preserve">Loading states: five different idioms, inconsistently applied</t>
  </si>
  <si>
    <t xml:space="preserve">UI-F11</t>
  </si>
  <si>
    <t xml:space="preserve">Empty states: good primitive, uneven coverage, generic copy</t>
  </si>
  <si>
    <t xml:space="preserve">UI-F12</t>
  </si>
  <si>
    <t xml:space="preserve">Errors and edge cases, including a live errMsg double-wrap defect</t>
  </si>
  <si>
    <t xml:space="preserve">UI-F14</t>
  </si>
  <si>
    <t xml:space="preserve">Visual and UX consistency: 122 raw Tailwind palette colours bypassing the tokens</t>
  </si>
  <si>
    <t xml:space="preserve">UI-F15</t>
  </si>
  <si>
    <t xml:space="preserve">Developer experience</t>
  </si>
  <si>
    <t xml:space="preserve">UI-F17</t>
  </si>
  <si>
    <t xml:space="preserve">The visual language is a well-executed template and reads as one - typography and density</t>
  </si>
  <si>
    <t xml:space="preserve">Token pass</t>
  </si>
  <si>
    <t xml:space="preserve">NEW-01</t>
  </si>
  <si>
    <t xml:space="preserve">Dockerfile deps stage never copied packages/, so `@praxis/shared` (a file: dependency) could not be linked — the image had no invoicing module and every final_invoice route 404'd</t>
  </si>
  <si>
    <t xml:space="preserve">Docker</t>
  </si>
  <si>
    <t xml:space="preserve">Layer was cached from before the dep existed, so builds kept passing. Also a time bomb: the next package.json change would fail the build outright. Found by running the test suite. Commit 5ed5870.</t>
  </si>
  <si>
    <t xml:space="preserve">NEW-02</t>
  </si>
  <si>
    <t xml:space="preserve">scripts/deploy.sh git-pulls the repo containing itself, so bash keeps executing the OLD file — every change to it took effect one deploy late</t>
  </si>
  <si>
    <t xml:space="preserve">Shell</t>
  </si>
  <si>
    <t xml:space="preserve">Pre-existing. Surfaced when a fix to the backup step was pulled and the run failed with the exact bug it fixed. Now pulls then re-execs. Reproduced standalone. Commit cdc034d.</t>
  </si>
  <si>
    <t xml:space="preserve">NEW-03</t>
  </si>
  <si>
    <t xml:space="preserve">Working tree is CRLF while every git blob is LF; a shell script edited on Windows becomes unparseable on the Linux server</t>
  </si>
  <si>
    <t xml:space="preserve">rollback.sh failed with `syntax error near unexpected token $'do\r'` — the recovery script could not run at all. .gitattributes added; CI now asserts every tracked *.sh is LF and passes bash -n. Commit 54e3f2c.</t>
  </si>
  <si>
    <t xml:space="preserve">NEW-04</t>
  </si>
  <si>
    <t xml:space="preserve">config/database.js is dead code in the API process — initDatabase() is defined and never called anywhere in src/</t>
  </si>
  <si>
    <t xml:space="preserve">Its pool is permanently null, so query() always throws 'db pool not initialised'. Found because the first readiness probe used it and reported Postgres down on a healthy server. Consistent with DATA 4.1 (the RLS layer does not exist). Needs its own pass.</t>
  </si>
  <si>
    <t xml:space="preserve">NEW-05</t>
  </si>
  <si>
    <t xml:space="preserve">Depreciation rows already written with posted=true and entry_id NULL — the register reports accumulated depreciation the trial balance does not contain</t>
  </si>
  <si>
    <t xml:space="preserve">Data repair</t>
  </si>
  <si>
    <t xml:space="preserve">Damage left by DI-5.5. Net book value understated; any asset disposed in the window computed gain/loss from the phantom figure. scripts/db/reconcile-depreciation.js finds and optionally clears the false flags (commit 1de3ab6). NOT YET RUN.</t>
  </si>
  <si>
    <t xml:space="preserve">NEW-06</t>
  </si>
  <si>
    <t xml:space="preserve">pino-pretty transport was spawned under NODE_ENV=test, leaking a worker thread per Jest process</t>
  </si>
  <si>
    <t xml:space="preserve">Caused 'A worker process has failed to exit gracefully'. Bought nothing — jest.setup.js already silences output. Pretty-printing is now development-only. Commit 5ed5870.</t>
  </si>
  <si>
    <t xml:space="preserve">Praxis LS - consolidated audit register, 2026-08-04</t>
  </si>
  <si>
    <t xml:space="preserve">Seven Phase-0 audits. One row per headline finding on the Register sheet.</t>
  </si>
  <si>
    <t xml:space="preserve">Total</t>
  </si>
  <si>
    <t xml:space="preserve">Status roll-up</t>
  </si>
  <si>
    <t xml:space="preserve">Largely fixed (superseded)</t>
  </si>
  <si>
    <t xml:space="preserve">Independently verified in code</t>
  </si>
</sst>
</file>

<file path=xl/styles.xml><?xml version="1.0" encoding="utf-8"?>
<styleSheet xmlns="http://schemas.openxmlformats.org/spreadsheetml/2006/main">
  <numFmts count="1">
    <numFmt numFmtId="164" formatCode="General"/>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b val="true"/>
      <sz val="10"/>
      <name val="Arial"/>
      <family val="0"/>
      <charset val="1"/>
    </font>
    <font>
      <sz val="10"/>
      <name val="Arial"/>
      <family val="0"/>
      <charset val="1"/>
    </font>
    <font>
      <b val="true"/>
      <sz val="10"/>
      <color rgb="FF38761D"/>
      <name val="Arial"/>
      <family val="0"/>
      <charset val="1"/>
    </font>
    <font>
      <b val="true"/>
      <sz val="10"/>
      <color rgb="FF1155CC"/>
      <name val="Arial"/>
      <family val="0"/>
      <charset val="1"/>
    </font>
    <font>
      <b val="true"/>
      <sz val="10"/>
      <color rgb="FFB45F06"/>
      <name val="Arial"/>
      <family val="0"/>
      <charset val="1"/>
    </font>
    <font>
      <i val="true"/>
      <sz val="10"/>
      <color rgb="FF666666"/>
      <name val="Arial"/>
      <family val="0"/>
      <charset val="1"/>
    </font>
    <font>
      <b val="true"/>
      <sz val="14"/>
      <name val="Arial"/>
      <family val="0"/>
      <charset val="1"/>
    </font>
  </fonts>
  <fills count="9">
    <fill>
      <patternFill patternType="none"/>
    </fill>
    <fill>
      <patternFill patternType="gray125"/>
    </fill>
    <fill>
      <patternFill patternType="solid">
        <fgColor rgb="FF1F3864"/>
        <bgColor rgb="FF333333"/>
      </patternFill>
    </fill>
    <fill>
      <patternFill patternType="solid">
        <fgColor rgb="FFF4CCCC"/>
        <bgColor rgb="FFD9D9D9"/>
      </patternFill>
    </fill>
    <fill>
      <patternFill patternType="solid">
        <fgColor rgb="FFFCE5CD"/>
        <bgColor rgb="FFFDEBD3"/>
      </patternFill>
    </fill>
    <fill>
      <patternFill patternType="solid">
        <fgColor rgb="FFFFF2CC"/>
        <bgColor rgb="FFFDEBD3"/>
      </patternFill>
    </fill>
    <fill>
      <patternFill patternType="solid">
        <fgColor rgb="FFD9EAD3"/>
        <bgColor rgb="FFD9D9D9"/>
      </patternFill>
    </fill>
    <fill>
      <patternFill patternType="solid">
        <fgColor rgb="FFFDEBD3"/>
        <bgColor rgb="FFFCE5CD"/>
      </patternFill>
    </fill>
    <fill>
      <patternFill patternType="solid">
        <fgColor rgb="FFF3F3D9"/>
        <bgColor rgb="FFFFF2CC"/>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center" vertical="top" textRotation="0" wrapText="false" indent="0" shrinkToFit="false"/>
      <protection locked="true" hidden="false"/>
    </xf>
    <xf numFmtId="164" fontId="6" fillId="8" borderId="1" xfId="0" applyFont="true" applyBorder="true" applyAlignment="true" applyProtection="false">
      <alignment horizontal="center" vertical="top"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left"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4" fillId="2" borderId="0" xfId="0" applyFont="true" applyBorder="false" applyAlignment="true" applyProtection="false">
      <alignment horizontal="left" vertical="bottom"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9EAD3"/>
          <bgColor rgb="FF000000"/>
        </patternFill>
      </fill>
    </dxf>
    <dxf>
      <fill>
        <patternFill patternType="solid">
          <fgColor rgb="FFF3F3D9"/>
          <bgColor rgb="FF000000"/>
        </patternFill>
      </fill>
    </dxf>
    <dxf>
      <fill>
        <patternFill patternType="solid">
          <fgColor rgb="FFF4CCCC"/>
          <bgColor rgb="FF000000"/>
        </patternFill>
      </fill>
    </dxf>
    <dxf>
      <fill>
        <patternFill patternType="solid">
          <fgColor rgb="FFFCE5CD"/>
          <bgColor rgb="FF000000"/>
        </patternFill>
      </fill>
    </dxf>
    <dxf>
      <fill>
        <patternFill patternType="solid">
          <fgColor rgb="FFFDEBD3"/>
          <bgColor rgb="FF000000"/>
        </patternFill>
      </fill>
    </dxf>
    <dxf>
      <fill>
        <patternFill patternType="solid">
          <fgColor rgb="FFFFF2CC"/>
          <bgColor rgb="FF000000"/>
        </patternFill>
      </fill>
    </dxf>
    <dxf>
      <fill>
        <patternFill patternType="solid">
          <fgColor rgb="FF38761D"/>
          <bgColor rgb="FF000000"/>
        </patternFill>
      </fill>
    </dxf>
    <dxf>
      <fill>
        <patternFill patternType="solid">
          <fgColor rgb="FF666666"/>
          <bgColor rgb="FF000000"/>
        </patternFill>
      </fill>
    </dxf>
    <dxf>
      <fill>
        <patternFill patternType="solid">
          <fgColor rgb="FFB45F06"/>
          <bgColor rgb="FF000000"/>
        </patternFill>
      </fill>
    </dxf>
    <dxf>
      <fill>
        <patternFill patternType="solid">
          <fgColor rgb="FF1155CC"/>
          <bgColor rgb="FF000000"/>
        </patternFill>
      </fill>
    </dxf>
  </dxfs>
  <colors>
    <indexedColors>
      <rgbColor rgb="FF000000"/>
      <rgbColor rgb="FFFFFFFF"/>
      <rgbColor rgb="FFFF0000"/>
      <rgbColor rgb="FF00FF00"/>
      <rgbColor rgb="FF0000FF"/>
      <rgbColor rgb="FFFFFF00"/>
      <rgbColor rgb="FFFF00FF"/>
      <rgbColor rgb="FF00FFFF"/>
      <rgbColor rgb="FF800000"/>
      <rgbColor rgb="FF38761D"/>
      <rgbColor rgb="FF000080"/>
      <rgbColor rgb="FF808000"/>
      <rgbColor rgb="FF800080"/>
      <rgbColor rgb="FF008080"/>
      <rgbColor rgb="FFC0C0C0"/>
      <rgbColor rgb="FF808080"/>
      <rgbColor rgb="FF9999FF"/>
      <rgbColor rgb="FF993366"/>
      <rgbColor rgb="FFFFF2CC"/>
      <rgbColor rgb="FFFDEBD3"/>
      <rgbColor rgb="FF660066"/>
      <rgbColor rgb="FFFF8080"/>
      <rgbColor rgb="FF1155CC"/>
      <rgbColor rgb="FFD9D9D9"/>
      <rgbColor rgb="FF000080"/>
      <rgbColor rgb="FFFF00FF"/>
      <rgbColor rgb="FFFFFF00"/>
      <rgbColor rgb="FF00FFFF"/>
      <rgbColor rgb="FF800080"/>
      <rgbColor rgb="FF800000"/>
      <rgbColor rgb="FF008080"/>
      <rgbColor rgb="FF0000FF"/>
      <rgbColor rgb="FF00CCFF"/>
      <rgbColor rgb="FFFCE5CD"/>
      <rgbColor rgb="FFD9EAD3"/>
      <rgbColor rgb="FFF3F3D9"/>
      <rgbColor rgb="FF99CCFF"/>
      <rgbColor rgb="FFFF99CC"/>
      <rgbColor rgb="FFCC99FF"/>
      <rgbColor rgb="FFF4CCCC"/>
      <rgbColor rgb="FF3366FF"/>
      <rgbColor rgb="FF33CCCC"/>
      <rgbColor rgb="FF99CC00"/>
      <rgbColor rgb="FFFFCC00"/>
      <rgbColor rgb="FFFF9900"/>
      <rgbColor rgb="FFFF6600"/>
      <rgbColor rgb="FF666666"/>
      <rgbColor rgb="FF969696"/>
      <rgbColor rgb="FF1F3864"/>
      <rgbColor rgb="FF339966"/>
      <rgbColor rgb="FF003300"/>
      <rgbColor rgb="FF333300"/>
      <rgbColor rgb="FFB45F06"/>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1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1"/>
    <col collapsed="false" customWidth="true" hidden="false" outlineLevel="0" max="2" min="2" style="1" width="19"/>
    <col collapsed="false" customWidth="true" hidden="false" outlineLevel="0" max="3" min="3" style="1" width="74"/>
    <col collapsed="false" customWidth="true" hidden="false" outlineLevel="0" max="4" min="4" style="1" width="12"/>
    <col collapsed="false" customWidth="true" hidden="false" outlineLevel="0" max="5" min="5" style="1" width="20"/>
    <col collapsed="false" customWidth="true" hidden="false" outlineLevel="0" max="6" min="6" style="1" width="18"/>
    <col collapsed="false" customWidth="true" hidden="false" outlineLevel="0" max="7" min="7" style="1" width="16"/>
    <col collapsed="false" customWidth="true" hidden="false" outlineLevel="0" max="8" min="8" style="1" width="74"/>
  </cols>
  <sheetData>
    <row r="1" customFormat="false" ht="15" hidden="false" customHeight="true" outlineLevel="0" collapsed="false">
      <c r="A1" s="2" t="s">
        <v>0</v>
      </c>
      <c r="B1" s="2" t="s">
        <v>1</v>
      </c>
      <c r="C1" s="2" t="s">
        <v>2</v>
      </c>
      <c r="D1" s="2" t="s">
        <v>3</v>
      </c>
      <c r="E1" s="2" t="s">
        <v>4</v>
      </c>
      <c r="F1" s="2" t="s">
        <v>5</v>
      </c>
      <c r="G1" s="2" t="s">
        <v>6</v>
      </c>
      <c r="H1" s="2" t="s">
        <v>7</v>
      </c>
    </row>
    <row r="2" customFormat="false" ht="23.25" hidden="false" customHeight="true" outlineLevel="0" collapsed="false">
      <c r="A2" s="3" t="s">
        <v>8</v>
      </c>
      <c r="B2" s="4" t="s">
        <v>9</v>
      </c>
      <c r="C2" s="4" t="s">
        <v>10</v>
      </c>
      <c r="D2" s="5" t="s">
        <v>11</v>
      </c>
      <c r="E2" s="4" t="s">
        <v>12</v>
      </c>
      <c r="F2" s="6" t="s">
        <v>13</v>
      </c>
      <c r="G2" s="7" t="s">
        <v>14</v>
      </c>
      <c r="H2" s="4" t="s">
        <v>15</v>
      </c>
    </row>
    <row r="3" customFormat="false" ht="23.25" hidden="false" customHeight="true" outlineLevel="0" collapsed="false">
      <c r="A3" s="3" t="s">
        <v>16</v>
      </c>
      <c r="B3" s="4" t="s">
        <v>9</v>
      </c>
      <c r="C3" s="4" t="s">
        <v>17</v>
      </c>
      <c r="D3" s="5" t="s">
        <v>11</v>
      </c>
      <c r="E3" s="4" t="s">
        <v>18</v>
      </c>
      <c r="F3" s="6" t="s">
        <v>13</v>
      </c>
      <c r="G3" s="7" t="s">
        <v>14</v>
      </c>
      <c r="H3" s="4" t="s">
        <v>19</v>
      </c>
    </row>
    <row r="4" customFormat="false" ht="23.25" hidden="false" customHeight="true" outlineLevel="0" collapsed="false">
      <c r="A4" s="3" t="s">
        <v>20</v>
      </c>
      <c r="B4" s="4" t="s">
        <v>9</v>
      </c>
      <c r="C4" s="4" t="s">
        <v>21</v>
      </c>
      <c r="D4" s="5" t="s">
        <v>11</v>
      </c>
      <c r="E4" s="4" t="s">
        <v>18</v>
      </c>
      <c r="F4" s="6" t="s">
        <v>13</v>
      </c>
      <c r="G4" s="7" t="s">
        <v>14</v>
      </c>
      <c r="H4" s="4" t="s">
        <v>22</v>
      </c>
    </row>
    <row r="5" customFormat="false" ht="15" hidden="false" customHeight="true" outlineLevel="0" collapsed="false">
      <c r="A5" s="3" t="s">
        <v>23</v>
      </c>
      <c r="B5" s="4" t="s">
        <v>9</v>
      </c>
      <c r="C5" s="4" t="s">
        <v>24</v>
      </c>
      <c r="D5" s="8" t="s">
        <v>25</v>
      </c>
      <c r="E5" s="4" t="s">
        <v>26</v>
      </c>
      <c r="F5" s="4" t="s">
        <v>27</v>
      </c>
      <c r="G5" s="4" t="s">
        <v>28</v>
      </c>
      <c r="H5" s="4"/>
    </row>
    <row r="6" customFormat="false" ht="23.25" hidden="false" customHeight="true" outlineLevel="0" collapsed="false">
      <c r="A6" s="3" t="s">
        <v>29</v>
      </c>
      <c r="B6" s="4" t="s">
        <v>9</v>
      </c>
      <c r="C6" s="4" t="s">
        <v>30</v>
      </c>
      <c r="D6" s="8" t="s">
        <v>25</v>
      </c>
      <c r="E6" s="4" t="s">
        <v>18</v>
      </c>
      <c r="F6" s="6" t="s">
        <v>13</v>
      </c>
      <c r="G6" s="7" t="s">
        <v>14</v>
      </c>
      <c r="H6" s="4" t="s">
        <v>31</v>
      </c>
    </row>
    <row r="7" customFormat="false" ht="23.25" hidden="false" customHeight="true" outlineLevel="0" collapsed="false">
      <c r="A7" s="3" t="s">
        <v>32</v>
      </c>
      <c r="B7" s="4" t="s">
        <v>9</v>
      </c>
      <c r="C7" s="4" t="s">
        <v>33</v>
      </c>
      <c r="D7" s="8" t="s">
        <v>25</v>
      </c>
      <c r="E7" s="4" t="s">
        <v>26</v>
      </c>
      <c r="F7" s="4" t="s">
        <v>27</v>
      </c>
      <c r="G7" s="4" t="s">
        <v>28</v>
      </c>
      <c r="H7" s="4"/>
    </row>
    <row r="8" customFormat="false" ht="15" hidden="false" customHeight="true" outlineLevel="0" collapsed="false">
      <c r="A8" s="3" t="s">
        <v>34</v>
      </c>
      <c r="B8" s="4" t="s">
        <v>9</v>
      </c>
      <c r="C8" s="4" t="s">
        <v>35</v>
      </c>
      <c r="D8" s="8" t="s">
        <v>25</v>
      </c>
      <c r="E8" s="4" t="s">
        <v>26</v>
      </c>
      <c r="F8" s="4" t="s">
        <v>27</v>
      </c>
      <c r="G8" s="4" t="s">
        <v>28</v>
      </c>
      <c r="H8" s="4"/>
    </row>
    <row r="9" customFormat="false" ht="15" hidden="false" customHeight="true" outlineLevel="0" collapsed="false">
      <c r="A9" s="3" t="s">
        <v>36</v>
      </c>
      <c r="B9" s="4" t="s">
        <v>9</v>
      </c>
      <c r="C9" s="4" t="s">
        <v>37</v>
      </c>
      <c r="D9" s="8" t="s">
        <v>25</v>
      </c>
      <c r="E9" s="4" t="s">
        <v>38</v>
      </c>
      <c r="F9" s="6" t="s">
        <v>13</v>
      </c>
      <c r="G9" s="7" t="s">
        <v>14</v>
      </c>
      <c r="H9" s="4" t="s">
        <v>39</v>
      </c>
    </row>
    <row r="10" customFormat="false" ht="23.25" hidden="false" customHeight="true" outlineLevel="0" collapsed="false">
      <c r="A10" s="3" t="s">
        <v>40</v>
      </c>
      <c r="B10" s="4" t="s">
        <v>9</v>
      </c>
      <c r="C10" s="4" t="s">
        <v>41</v>
      </c>
      <c r="D10" s="8" t="s">
        <v>25</v>
      </c>
      <c r="E10" s="4" t="s">
        <v>18</v>
      </c>
      <c r="F10" s="4" t="s">
        <v>27</v>
      </c>
      <c r="G10" s="4" t="s">
        <v>28</v>
      </c>
      <c r="H10" s="4"/>
    </row>
    <row r="11" customFormat="false" ht="15" hidden="false" customHeight="true" outlineLevel="0" collapsed="false">
      <c r="A11" s="3" t="s">
        <v>42</v>
      </c>
      <c r="B11" s="4" t="s">
        <v>9</v>
      </c>
      <c r="C11" s="4" t="s">
        <v>43</v>
      </c>
      <c r="D11" s="9" t="s">
        <v>44</v>
      </c>
      <c r="E11" s="4" t="s">
        <v>26</v>
      </c>
      <c r="F11" s="4" t="s">
        <v>27</v>
      </c>
      <c r="G11" s="4" t="s">
        <v>28</v>
      </c>
      <c r="H11" s="4"/>
    </row>
    <row r="12" customFormat="false" ht="15" hidden="false" customHeight="true" outlineLevel="0" collapsed="false">
      <c r="A12" s="3" t="s">
        <v>45</v>
      </c>
      <c r="B12" s="4" t="s">
        <v>9</v>
      </c>
      <c r="C12" s="4" t="s">
        <v>46</v>
      </c>
      <c r="D12" s="9" t="s">
        <v>44</v>
      </c>
      <c r="E12" s="4" t="s">
        <v>18</v>
      </c>
      <c r="F12" s="6" t="s">
        <v>13</v>
      </c>
      <c r="G12" s="7" t="s">
        <v>14</v>
      </c>
      <c r="H12" s="4" t="s">
        <v>47</v>
      </c>
    </row>
    <row r="13" customFormat="false" ht="15" hidden="false" customHeight="true" outlineLevel="0" collapsed="false">
      <c r="A13" s="3" t="s">
        <v>48</v>
      </c>
      <c r="B13" s="4" t="s">
        <v>9</v>
      </c>
      <c r="C13" s="4" t="s">
        <v>49</v>
      </c>
      <c r="D13" s="9" t="s">
        <v>44</v>
      </c>
      <c r="E13" s="4" t="s">
        <v>26</v>
      </c>
      <c r="F13" s="4" t="s">
        <v>27</v>
      </c>
      <c r="G13" s="4" t="s">
        <v>28</v>
      </c>
      <c r="H13" s="4"/>
    </row>
    <row r="14" customFormat="false" ht="15" hidden="false" customHeight="true" outlineLevel="0" collapsed="false">
      <c r="A14" s="3" t="s">
        <v>50</v>
      </c>
      <c r="B14" s="4" t="s">
        <v>9</v>
      </c>
      <c r="C14" s="4" t="s">
        <v>51</v>
      </c>
      <c r="D14" s="9" t="s">
        <v>44</v>
      </c>
      <c r="E14" s="4" t="s">
        <v>26</v>
      </c>
      <c r="F14" s="4" t="s">
        <v>27</v>
      </c>
      <c r="G14" s="4" t="s">
        <v>28</v>
      </c>
      <c r="H14" s="4"/>
    </row>
    <row r="15" customFormat="false" ht="15" hidden="false" customHeight="true" outlineLevel="0" collapsed="false">
      <c r="A15" s="3" t="s">
        <v>52</v>
      </c>
      <c r="B15" s="4" t="s">
        <v>9</v>
      </c>
      <c r="C15" s="4" t="s">
        <v>53</v>
      </c>
      <c r="D15" s="9" t="s">
        <v>44</v>
      </c>
      <c r="E15" s="4" t="s">
        <v>54</v>
      </c>
      <c r="F15" s="4" t="s">
        <v>27</v>
      </c>
      <c r="G15" s="4" t="s">
        <v>28</v>
      </c>
      <c r="H15" s="4"/>
    </row>
    <row r="16" customFormat="false" ht="15" hidden="false" customHeight="true" outlineLevel="0" collapsed="false">
      <c r="A16" s="3" t="s">
        <v>55</v>
      </c>
      <c r="B16" s="4" t="s">
        <v>9</v>
      </c>
      <c r="C16" s="4" t="s">
        <v>56</v>
      </c>
      <c r="D16" s="9" t="s">
        <v>44</v>
      </c>
      <c r="E16" s="4" t="s">
        <v>54</v>
      </c>
      <c r="F16" s="4" t="s">
        <v>27</v>
      </c>
      <c r="G16" s="4" t="s">
        <v>28</v>
      </c>
      <c r="H16" s="4"/>
    </row>
    <row r="17" customFormat="false" ht="15" hidden="false" customHeight="true" outlineLevel="0" collapsed="false">
      <c r="A17" s="3" t="s">
        <v>57</v>
      </c>
      <c r="B17" s="4" t="s">
        <v>9</v>
      </c>
      <c r="C17" s="4" t="s">
        <v>58</v>
      </c>
      <c r="D17" s="9" t="s">
        <v>44</v>
      </c>
      <c r="E17" s="4" t="s">
        <v>54</v>
      </c>
      <c r="F17" s="4" t="s">
        <v>27</v>
      </c>
      <c r="G17" s="4" t="s">
        <v>28</v>
      </c>
      <c r="H17" s="4"/>
    </row>
    <row r="18" customFormat="false" ht="15" hidden="false" customHeight="true" outlineLevel="0" collapsed="false">
      <c r="A18" s="3" t="s">
        <v>59</v>
      </c>
      <c r="B18" s="4" t="s">
        <v>9</v>
      </c>
      <c r="C18" s="4" t="s">
        <v>60</v>
      </c>
      <c r="D18" s="9" t="s">
        <v>44</v>
      </c>
      <c r="E18" s="4" t="s">
        <v>61</v>
      </c>
      <c r="F18" s="4" t="s">
        <v>27</v>
      </c>
      <c r="G18" s="7" t="s">
        <v>14</v>
      </c>
      <c r="H18" s="4" t="s">
        <v>62</v>
      </c>
    </row>
    <row r="19" customFormat="false" ht="15" hidden="false" customHeight="true" outlineLevel="0" collapsed="false">
      <c r="A19" s="3" t="s">
        <v>63</v>
      </c>
      <c r="B19" s="4" t="s">
        <v>9</v>
      </c>
      <c r="C19" s="4" t="s">
        <v>64</v>
      </c>
      <c r="D19" s="9" t="s">
        <v>44</v>
      </c>
      <c r="E19" s="4" t="s">
        <v>65</v>
      </c>
      <c r="F19" s="4" t="s">
        <v>27</v>
      </c>
      <c r="G19" s="7" t="s">
        <v>14</v>
      </c>
      <c r="H19" s="4" t="s">
        <v>66</v>
      </c>
    </row>
    <row r="20" customFormat="false" ht="15" hidden="false" customHeight="true" outlineLevel="0" collapsed="false">
      <c r="A20" s="3" t="s">
        <v>67</v>
      </c>
      <c r="B20" s="4" t="s">
        <v>9</v>
      </c>
      <c r="C20" s="4" t="s">
        <v>68</v>
      </c>
      <c r="D20" s="10" t="s">
        <v>69</v>
      </c>
      <c r="E20" s="4" t="s">
        <v>70</v>
      </c>
      <c r="F20" s="4" t="s">
        <v>27</v>
      </c>
      <c r="G20" s="4" t="s">
        <v>28</v>
      </c>
      <c r="H20" s="4"/>
    </row>
    <row r="21" customFormat="false" ht="23.25" hidden="false" customHeight="true" outlineLevel="0" collapsed="false">
      <c r="A21" s="3" t="s">
        <v>71</v>
      </c>
      <c r="B21" s="4" t="s">
        <v>9</v>
      </c>
      <c r="C21" s="4" t="s">
        <v>72</v>
      </c>
      <c r="D21" s="10" t="s">
        <v>69</v>
      </c>
      <c r="E21" s="4" t="s">
        <v>38</v>
      </c>
      <c r="F21" s="4" t="s">
        <v>27</v>
      </c>
      <c r="G21" s="4" t="s">
        <v>28</v>
      </c>
      <c r="H21" s="4"/>
    </row>
    <row r="22" customFormat="false" ht="23.25" hidden="false" customHeight="true" outlineLevel="0" collapsed="false">
      <c r="A22" s="3" t="s">
        <v>73</v>
      </c>
      <c r="B22" s="4" t="s">
        <v>9</v>
      </c>
      <c r="C22" s="4" t="s">
        <v>74</v>
      </c>
      <c r="D22" s="10" t="s">
        <v>69</v>
      </c>
      <c r="E22" s="4" t="s">
        <v>75</v>
      </c>
      <c r="F22" s="4" t="s">
        <v>27</v>
      </c>
      <c r="G22" s="4" t="s">
        <v>28</v>
      </c>
      <c r="H22" s="4"/>
    </row>
    <row r="23" customFormat="false" ht="23.25" hidden="false" customHeight="true" outlineLevel="0" collapsed="false">
      <c r="A23" s="3" t="s">
        <v>76</v>
      </c>
      <c r="B23" s="4" t="s">
        <v>9</v>
      </c>
      <c r="C23" s="4" t="s">
        <v>77</v>
      </c>
      <c r="D23" s="10" t="s">
        <v>69</v>
      </c>
      <c r="E23" s="4" t="s">
        <v>70</v>
      </c>
      <c r="F23" s="6" t="s">
        <v>13</v>
      </c>
      <c r="G23" s="7" t="s">
        <v>14</v>
      </c>
      <c r="H23" s="4" t="s">
        <v>78</v>
      </c>
    </row>
    <row r="24" customFormat="false" ht="15" hidden="false" customHeight="true" outlineLevel="0" collapsed="false">
      <c r="A24" s="3" t="s">
        <v>79</v>
      </c>
      <c r="B24" s="4" t="s">
        <v>9</v>
      </c>
      <c r="C24" s="4" t="s">
        <v>80</v>
      </c>
      <c r="D24" s="10" t="s">
        <v>69</v>
      </c>
      <c r="E24" s="4" t="s">
        <v>81</v>
      </c>
      <c r="F24" s="4" t="s">
        <v>27</v>
      </c>
      <c r="G24" s="4" t="s">
        <v>28</v>
      </c>
      <c r="H24" s="4"/>
    </row>
    <row r="25" customFormat="false" ht="15" hidden="false" customHeight="true" outlineLevel="0" collapsed="false">
      <c r="A25" s="3" t="s">
        <v>82</v>
      </c>
      <c r="B25" s="4" t="s">
        <v>9</v>
      </c>
      <c r="C25" s="4" t="s">
        <v>83</v>
      </c>
      <c r="D25" s="10" t="s">
        <v>69</v>
      </c>
      <c r="E25" s="4" t="s">
        <v>84</v>
      </c>
      <c r="F25" s="6" t="s">
        <v>13</v>
      </c>
      <c r="G25" s="7" t="s">
        <v>14</v>
      </c>
      <c r="H25" s="4" t="s">
        <v>85</v>
      </c>
    </row>
    <row r="26" customFormat="false" ht="23.25" hidden="false" customHeight="true" outlineLevel="0" collapsed="false">
      <c r="A26" s="3" t="s">
        <v>86</v>
      </c>
      <c r="B26" s="4" t="s">
        <v>87</v>
      </c>
      <c r="C26" s="4" t="s">
        <v>88</v>
      </c>
      <c r="D26" s="5" t="s">
        <v>11</v>
      </c>
      <c r="E26" s="4" t="s">
        <v>18</v>
      </c>
      <c r="F26" s="6" t="s">
        <v>13</v>
      </c>
      <c r="G26" s="7" t="s">
        <v>14</v>
      </c>
      <c r="H26" s="4" t="s">
        <v>89</v>
      </c>
    </row>
    <row r="27" customFormat="false" ht="15" hidden="false" customHeight="true" outlineLevel="0" collapsed="false">
      <c r="A27" s="3" t="s">
        <v>90</v>
      </c>
      <c r="B27" s="4" t="s">
        <v>87</v>
      </c>
      <c r="C27" s="4" t="s">
        <v>91</v>
      </c>
      <c r="D27" s="5" t="s">
        <v>11</v>
      </c>
      <c r="E27" s="4" t="s">
        <v>92</v>
      </c>
      <c r="F27" s="6" t="s">
        <v>13</v>
      </c>
      <c r="G27" s="7" t="s">
        <v>14</v>
      </c>
      <c r="H27" s="4" t="s">
        <v>93</v>
      </c>
    </row>
    <row r="28" customFormat="false" ht="15" hidden="false" customHeight="true" outlineLevel="0" collapsed="false">
      <c r="A28" s="3" t="s">
        <v>94</v>
      </c>
      <c r="B28" s="4" t="s">
        <v>87</v>
      </c>
      <c r="C28" s="4" t="s">
        <v>95</v>
      </c>
      <c r="D28" s="5" t="s">
        <v>11</v>
      </c>
      <c r="E28" s="4" t="s">
        <v>96</v>
      </c>
      <c r="F28" s="6" t="s">
        <v>13</v>
      </c>
      <c r="G28" s="7" t="s">
        <v>14</v>
      </c>
      <c r="H28" s="4" t="s">
        <v>97</v>
      </c>
    </row>
    <row r="29" customFormat="false" ht="15" hidden="false" customHeight="true" outlineLevel="0" collapsed="false">
      <c r="A29" s="3" t="s">
        <v>98</v>
      </c>
      <c r="B29" s="4" t="s">
        <v>87</v>
      </c>
      <c r="C29" s="4" t="s">
        <v>99</v>
      </c>
      <c r="D29" s="5" t="s">
        <v>11</v>
      </c>
      <c r="E29" s="4" t="s">
        <v>100</v>
      </c>
      <c r="F29" s="6" t="s">
        <v>13</v>
      </c>
      <c r="G29" s="7" t="s">
        <v>14</v>
      </c>
      <c r="H29" s="4" t="s">
        <v>101</v>
      </c>
    </row>
    <row r="30" customFormat="false" ht="15" hidden="false" customHeight="true" outlineLevel="0" collapsed="false">
      <c r="A30" s="3" t="s">
        <v>102</v>
      </c>
      <c r="B30" s="4" t="s">
        <v>87</v>
      </c>
      <c r="C30" s="4" t="s">
        <v>103</v>
      </c>
      <c r="D30" s="5" t="s">
        <v>11</v>
      </c>
      <c r="E30" s="4" t="s">
        <v>100</v>
      </c>
      <c r="F30" s="6" t="s">
        <v>13</v>
      </c>
      <c r="G30" s="7" t="s">
        <v>14</v>
      </c>
      <c r="H30" s="4" t="s">
        <v>104</v>
      </c>
    </row>
    <row r="31" customFormat="false" ht="15" hidden="false" customHeight="true" outlineLevel="0" collapsed="false">
      <c r="A31" s="3" t="s">
        <v>105</v>
      </c>
      <c r="B31" s="4" t="s">
        <v>87</v>
      </c>
      <c r="C31" s="4" t="s">
        <v>106</v>
      </c>
      <c r="D31" s="5" t="s">
        <v>11</v>
      </c>
      <c r="E31" s="4" t="s">
        <v>107</v>
      </c>
      <c r="F31" s="6" t="s">
        <v>13</v>
      </c>
      <c r="G31" s="7" t="s">
        <v>14</v>
      </c>
      <c r="H31" s="4" t="s">
        <v>108</v>
      </c>
    </row>
    <row r="32" customFormat="false" ht="15" hidden="false" customHeight="true" outlineLevel="0" collapsed="false">
      <c r="A32" s="3" t="s">
        <v>109</v>
      </c>
      <c r="B32" s="4" t="s">
        <v>87</v>
      </c>
      <c r="C32" s="4" t="s">
        <v>110</v>
      </c>
      <c r="D32" s="8" t="s">
        <v>25</v>
      </c>
      <c r="E32" s="4" t="s">
        <v>111</v>
      </c>
      <c r="F32" s="4" t="s">
        <v>27</v>
      </c>
      <c r="G32" s="4" t="s">
        <v>28</v>
      </c>
      <c r="H32" s="4"/>
    </row>
    <row r="33" customFormat="false" ht="15" hidden="false" customHeight="true" outlineLevel="0" collapsed="false">
      <c r="A33" s="3" t="s">
        <v>112</v>
      </c>
      <c r="B33" s="4" t="s">
        <v>87</v>
      </c>
      <c r="C33" s="4" t="s">
        <v>113</v>
      </c>
      <c r="D33" s="8" t="s">
        <v>25</v>
      </c>
      <c r="E33" s="4" t="s">
        <v>114</v>
      </c>
      <c r="F33" s="6" t="s">
        <v>13</v>
      </c>
      <c r="G33" s="7" t="s">
        <v>14</v>
      </c>
      <c r="H33" s="4" t="s">
        <v>115</v>
      </c>
    </row>
    <row r="34" customFormat="false" ht="15" hidden="false" customHeight="true" outlineLevel="0" collapsed="false">
      <c r="A34" s="3" t="s">
        <v>116</v>
      </c>
      <c r="B34" s="4" t="s">
        <v>87</v>
      </c>
      <c r="C34" s="4" t="s">
        <v>117</v>
      </c>
      <c r="D34" s="8" t="s">
        <v>25</v>
      </c>
      <c r="E34" s="4" t="s">
        <v>111</v>
      </c>
      <c r="F34" s="4" t="s">
        <v>27</v>
      </c>
      <c r="G34" s="4" t="s">
        <v>28</v>
      </c>
      <c r="H34" s="4"/>
    </row>
    <row r="35" customFormat="false" ht="15" hidden="false" customHeight="true" outlineLevel="0" collapsed="false">
      <c r="A35" s="3" t="s">
        <v>118</v>
      </c>
      <c r="B35" s="4" t="s">
        <v>87</v>
      </c>
      <c r="C35" s="4" t="s">
        <v>119</v>
      </c>
      <c r="D35" s="8" t="s">
        <v>25</v>
      </c>
      <c r="E35" s="4" t="s">
        <v>18</v>
      </c>
      <c r="F35" s="4" t="s">
        <v>27</v>
      </c>
      <c r="G35" s="4" t="s">
        <v>28</v>
      </c>
      <c r="H35" s="4"/>
    </row>
    <row r="36" customFormat="false" ht="15" hidden="false" customHeight="true" outlineLevel="0" collapsed="false">
      <c r="A36" s="3" t="s">
        <v>120</v>
      </c>
      <c r="B36" s="4" t="s">
        <v>87</v>
      </c>
      <c r="C36" s="4" t="s">
        <v>121</v>
      </c>
      <c r="D36" s="8" t="s">
        <v>25</v>
      </c>
      <c r="E36" s="4" t="s">
        <v>122</v>
      </c>
      <c r="F36" s="4" t="s">
        <v>27</v>
      </c>
      <c r="G36" s="4" t="s">
        <v>28</v>
      </c>
      <c r="H36" s="4"/>
    </row>
    <row r="37" customFormat="false" ht="15" hidden="false" customHeight="true" outlineLevel="0" collapsed="false">
      <c r="A37" s="3" t="s">
        <v>123</v>
      </c>
      <c r="B37" s="4" t="s">
        <v>87</v>
      </c>
      <c r="C37" s="4" t="s">
        <v>124</v>
      </c>
      <c r="D37" s="8" t="s">
        <v>25</v>
      </c>
      <c r="E37" s="4" t="s">
        <v>125</v>
      </c>
      <c r="F37" s="4" t="s">
        <v>27</v>
      </c>
      <c r="G37" s="4" t="s">
        <v>28</v>
      </c>
      <c r="H37" s="4"/>
    </row>
    <row r="38" customFormat="false" ht="15" hidden="false" customHeight="true" outlineLevel="0" collapsed="false">
      <c r="A38" s="3" t="s">
        <v>126</v>
      </c>
      <c r="B38" s="4" t="s">
        <v>87</v>
      </c>
      <c r="C38" s="4" t="s">
        <v>127</v>
      </c>
      <c r="D38" s="8" t="s">
        <v>25</v>
      </c>
      <c r="E38" s="4" t="s">
        <v>128</v>
      </c>
      <c r="F38" s="4" t="s">
        <v>27</v>
      </c>
      <c r="G38" s="4" t="s">
        <v>28</v>
      </c>
      <c r="H38" s="4"/>
    </row>
    <row r="39" customFormat="false" ht="15" hidden="false" customHeight="true" outlineLevel="0" collapsed="false">
      <c r="A39" s="3" t="s">
        <v>129</v>
      </c>
      <c r="B39" s="4" t="s">
        <v>87</v>
      </c>
      <c r="C39" s="4" t="s">
        <v>130</v>
      </c>
      <c r="D39" s="8" t="s">
        <v>25</v>
      </c>
      <c r="E39" s="4" t="s">
        <v>128</v>
      </c>
      <c r="F39" s="4" t="s">
        <v>27</v>
      </c>
      <c r="G39" s="4" t="s">
        <v>28</v>
      </c>
      <c r="H39" s="4"/>
    </row>
    <row r="40" customFormat="false" ht="15" hidden="false" customHeight="true" outlineLevel="0" collapsed="false">
      <c r="A40" s="3" t="s">
        <v>131</v>
      </c>
      <c r="B40" s="4" t="s">
        <v>87</v>
      </c>
      <c r="C40" s="4" t="s">
        <v>132</v>
      </c>
      <c r="D40" s="8" t="s">
        <v>25</v>
      </c>
      <c r="E40" s="4" t="s">
        <v>133</v>
      </c>
      <c r="F40" s="4" t="s">
        <v>27</v>
      </c>
      <c r="G40" s="4" t="s">
        <v>28</v>
      </c>
      <c r="H40" s="4"/>
    </row>
    <row r="41" customFormat="false" ht="15" hidden="false" customHeight="true" outlineLevel="0" collapsed="false">
      <c r="A41" s="3" t="s">
        <v>134</v>
      </c>
      <c r="B41" s="4" t="s">
        <v>87</v>
      </c>
      <c r="C41" s="4" t="s">
        <v>135</v>
      </c>
      <c r="D41" s="8" t="s">
        <v>25</v>
      </c>
      <c r="E41" s="4" t="s">
        <v>136</v>
      </c>
      <c r="F41" s="11" t="s">
        <v>137</v>
      </c>
      <c r="G41" s="4" t="s">
        <v>28</v>
      </c>
      <c r="H41" s="4" t="s">
        <v>138</v>
      </c>
    </row>
    <row r="42" customFormat="false" ht="15" hidden="false" customHeight="true" outlineLevel="0" collapsed="false">
      <c r="A42" s="3" t="s">
        <v>139</v>
      </c>
      <c r="B42" s="4" t="s">
        <v>87</v>
      </c>
      <c r="C42" s="4" t="s">
        <v>140</v>
      </c>
      <c r="D42" s="8" t="s">
        <v>25</v>
      </c>
      <c r="E42" s="4" t="s">
        <v>92</v>
      </c>
      <c r="F42" s="6" t="s">
        <v>13</v>
      </c>
      <c r="G42" s="7" t="s">
        <v>14</v>
      </c>
      <c r="H42" s="4" t="s">
        <v>141</v>
      </c>
    </row>
    <row r="43" customFormat="false" ht="15" hidden="false" customHeight="true" outlineLevel="0" collapsed="false">
      <c r="A43" s="3" t="s">
        <v>142</v>
      </c>
      <c r="B43" s="4" t="s">
        <v>87</v>
      </c>
      <c r="C43" s="4" t="s">
        <v>143</v>
      </c>
      <c r="D43" s="8" t="s">
        <v>25</v>
      </c>
      <c r="E43" s="4" t="s">
        <v>18</v>
      </c>
      <c r="F43" s="6" t="s">
        <v>13</v>
      </c>
      <c r="G43" s="7" t="s">
        <v>14</v>
      </c>
      <c r="H43" s="4" t="s">
        <v>144</v>
      </c>
    </row>
    <row r="44" customFormat="false" ht="15" hidden="false" customHeight="true" outlineLevel="0" collapsed="false">
      <c r="A44" s="3" t="s">
        <v>145</v>
      </c>
      <c r="B44" s="4" t="s">
        <v>87</v>
      </c>
      <c r="C44" s="4" t="s">
        <v>146</v>
      </c>
      <c r="D44" s="8" t="s">
        <v>25</v>
      </c>
      <c r="E44" s="4" t="s">
        <v>18</v>
      </c>
      <c r="F44" s="4" t="s">
        <v>27</v>
      </c>
      <c r="G44" s="4" t="s">
        <v>28</v>
      </c>
      <c r="H44" s="4"/>
    </row>
    <row r="45" customFormat="false" ht="15" hidden="false" customHeight="true" outlineLevel="0" collapsed="false">
      <c r="A45" s="3" t="s">
        <v>147</v>
      </c>
      <c r="B45" s="4" t="s">
        <v>87</v>
      </c>
      <c r="C45" s="4" t="s">
        <v>148</v>
      </c>
      <c r="D45" s="8" t="s">
        <v>25</v>
      </c>
      <c r="E45" s="4" t="s">
        <v>149</v>
      </c>
      <c r="F45" s="4" t="s">
        <v>27</v>
      </c>
      <c r="G45" s="4" t="s">
        <v>28</v>
      </c>
      <c r="H45" s="4"/>
    </row>
    <row r="46" customFormat="false" ht="15" hidden="false" customHeight="true" outlineLevel="0" collapsed="false">
      <c r="A46" s="3" t="s">
        <v>150</v>
      </c>
      <c r="B46" s="4" t="s">
        <v>87</v>
      </c>
      <c r="C46" s="4" t="s">
        <v>151</v>
      </c>
      <c r="D46" s="8" t="s">
        <v>25</v>
      </c>
      <c r="E46" s="4" t="s">
        <v>152</v>
      </c>
      <c r="F46" s="4" t="s">
        <v>27</v>
      </c>
      <c r="G46" s="4" t="s">
        <v>28</v>
      </c>
      <c r="H46" s="4"/>
    </row>
    <row r="47" customFormat="false" ht="15" hidden="false" customHeight="true" outlineLevel="0" collapsed="false">
      <c r="A47" s="3" t="s">
        <v>153</v>
      </c>
      <c r="B47" s="4" t="s">
        <v>87</v>
      </c>
      <c r="C47" s="4" t="s">
        <v>154</v>
      </c>
      <c r="D47" s="8" t="s">
        <v>25</v>
      </c>
      <c r="E47" s="4" t="s">
        <v>114</v>
      </c>
      <c r="F47" s="6" t="s">
        <v>13</v>
      </c>
      <c r="G47" s="7" t="s">
        <v>14</v>
      </c>
      <c r="H47" s="4" t="s">
        <v>155</v>
      </c>
    </row>
    <row r="48" customFormat="false" ht="15" hidden="false" customHeight="true" outlineLevel="0" collapsed="false">
      <c r="A48" s="3" t="s">
        <v>156</v>
      </c>
      <c r="B48" s="4" t="s">
        <v>87</v>
      </c>
      <c r="C48" s="4" t="s">
        <v>157</v>
      </c>
      <c r="D48" s="9" t="s">
        <v>44</v>
      </c>
      <c r="E48" s="4" t="s">
        <v>152</v>
      </c>
      <c r="F48" s="4" t="s">
        <v>27</v>
      </c>
      <c r="G48" s="4" t="s">
        <v>28</v>
      </c>
      <c r="H48" s="4"/>
    </row>
    <row r="49" customFormat="false" ht="15" hidden="false" customHeight="true" outlineLevel="0" collapsed="false">
      <c r="A49" s="3" t="s">
        <v>158</v>
      </c>
      <c r="B49" s="4" t="s">
        <v>87</v>
      </c>
      <c r="C49" s="4" t="s">
        <v>159</v>
      </c>
      <c r="D49" s="9" t="s">
        <v>44</v>
      </c>
      <c r="E49" s="4" t="s">
        <v>152</v>
      </c>
      <c r="F49" s="6" t="s">
        <v>13</v>
      </c>
      <c r="G49" s="7" t="s">
        <v>14</v>
      </c>
      <c r="H49" s="4" t="s">
        <v>160</v>
      </c>
    </row>
    <row r="50" customFormat="false" ht="15" hidden="false" customHeight="true" outlineLevel="0" collapsed="false">
      <c r="A50" s="3" t="s">
        <v>161</v>
      </c>
      <c r="B50" s="4" t="s">
        <v>87</v>
      </c>
      <c r="C50" s="4" t="s">
        <v>162</v>
      </c>
      <c r="D50" s="9" t="s">
        <v>44</v>
      </c>
      <c r="E50" s="4" t="s">
        <v>163</v>
      </c>
      <c r="F50" s="4" t="s">
        <v>27</v>
      </c>
      <c r="G50" s="4" t="s">
        <v>28</v>
      </c>
      <c r="H50" s="4"/>
    </row>
    <row r="51" customFormat="false" ht="15" hidden="false" customHeight="true" outlineLevel="0" collapsed="false">
      <c r="A51" s="3" t="s">
        <v>164</v>
      </c>
      <c r="B51" s="4" t="s">
        <v>87</v>
      </c>
      <c r="C51" s="4" t="s">
        <v>165</v>
      </c>
      <c r="D51" s="9" t="s">
        <v>44</v>
      </c>
      <c r="E51" s="4" t="s">
        <v>166</v>
      </c>
      <c r="F51" s="4" t="s">
        <v>27</v>
      </c>
      <c r="G51" s="4" t="s">
        <v>28</v>
      </c>
      <c r="H51" s="4"/>
    </row>
    <row r="52" customFormat="false" ht="15" hidden="false" customHeight="true" outlineLevel="0" collapsed="false">
      <c r="A52" s="3" t="s">
        <v>167</v>
      </c>
      <c r="B52" s="4" t="s">
        <v>87</v>
      </c>
      <c r="C52" s="4" t="s">
        <v>168</v>
      </c>
      <c r="D52" s="9" t="s">
        <v>44</v>
      </c>
      <c r="E52" s="4" t="s">
        <v>169</v>
      </c>
      <c r="F52" s="4" t="s">
        <v>27</v>
      </c>
      <c r="G52" s="4" t="s">
        <v>28</v>
      </c>
      <c r="H52" s="4"/>
    </row>
    <row r="53" customFormat="false" ht="15" hidden="false" customHeight="true" outlineLevel="0" collapsed="false">
      <c r="A53" s="3" t="s">
        <v>170</v>
      </c>
      <c r="B53" s="4" t="s">
        <v>87</v>
      </c>
      <c r="C53" s="4" t="s">
        <v>171</v>
      </c>
      <c r="D53" s="9" t="s">
        <v>44</v>
      </c>
      <c r="E53" s="4" t="s">
        <v>172</v>
      </c>
      <c r="F53" s="6" t="s">
        <v>13</v>
      </c>
      <c r="G53" s="7" t="s">
        <v>14</v>
      </c>
      <c r="H53" s="4" t="s">
        <v>173</v>
      </c>
    </row>
    <row r="54" customFormat="false" ht="15" hidden="false" customHeight="true" outlineLevel="0" collapsed="false">
      <c r="A54" s="3" t="s">
        <v>174</v>
      </c>
      <c r="B54" s="4" t="s">
        <v>87</v>
      </c>
      <c r="C54" s="4" t="s">
        <v>175</v>
      </c>
      <c r="D54" s="9" t="s">
        <v>44</v>
      </c>
      <c r="E54" s="4" t="s">
        <v>176</v>
      </c>
      <c r="F54" s="6" t="s">
        <v>13</v>
      </c>
      <c r="G54" s="7" t="s">
        <v>14</v>
      </c>
      <c r="H54" s="4" t="s">
        <v>177</v>
      </c>
    </row>
    <row r="55" customFormat="false" ht="15" hidden="false" customHeight="true" outlineLevel="0" collapsed="false">
      <c r="A55" s="3" t="s">
        <v>178</v>
      </c>
      <c r="B55" s="4" t="s">
        <v>87</v>
      </c>
      <c r="C55" s="4" t="s">
        <v>179</v>
      </c>
      <c r="D55" s="9" t="s">
        <v>44</v>
      </c>
      <c r="E55" s="4" t="s">
        <v>26</v>
      </c>
      <c r="F55" s="4" t="s">
        <v>27</v>
      </c>
      <c r="G55" s="4" t="s">
        <v>28</v>
      </c>
      <c r="H55" s="4"/>
    </row>
    <row r="56" customFormat="false" ht="15" hidden="false" customHeight="true" outlineLevel="0" collapsed="false">
      <c r="A56" s="3" t="s">
        <v>180</v>
      </c>
      <c r="B56" s="4" t="s">
        <v>87</v>
      </c>
      <c r="C56" s="4" t="s">
        <v>181</v>
      </c>
      <c r="D56" s="9" t="s">
        <v>44</v>
      </c>
      <c r="E56" s="4" t="s">
        <v>152</v>
      </c>
      <c r="F56" s="4" t="s">
        <v>27</v>
      </c>
      <c r="G56" s="4" t="s">
        <v>28</v>
      </c>
      <c r="H56" s="4"/>
    </row>
    <row r="57" customFormat="false" ht="15" hidden="false" customHeight="true" outlineLevel="0" collapsed="false">
      <c r="A57" s="3" t="s">
        <v>182</v>
      </c>
      <c r="B57" s="4" t="s">
        <v>87</v>
      </c>
      <c r="C57" s="4" t="s">
        <v>183</v>
      </c>
      <c r="D57" s="9" t="s">
        <v>44</v>
      </c>
      <c r="E57" s="4" t="s">
        <v>122</v>
      </c>
      <c r="F57" s="4" t="s">
        <v>27</v>
      </c>
      <c r="G57" s="4" t="s">
        <v>28</v>
      </c>
      <c r="H57" s="4"/>
    </row>
    <row r="58" customFormat="false" ht="15" hidden="false" customHeight="true" outlineLevel="0" collapsed="false">
      <c r="A58" s="3" t="s">
        <v>184</v>
      </c>
      <c r="B58" s="4" t="s">
        <v>87</v>
      </c>
      <c r="C58" s="4" t="s">
        <v>185</v>
      </c>
      <c r="D58" s="10" t="s">
        <v>69</v>
      </c>
      <c r="E58" s="4" t="s">
        <v>152</v>
      </c>
      <c r="F58" s="4" t="s">
        <v>27</v>
      </c>
      <c r="G58" s="4" t="s">
        <v>28</v>
      </c>
      <c r="H58" s="4"/>
    </row>
    <row r="59" customFormat="false" ht="15" hidden="false" customHeight="true" outlineLevel="0" collapsed="false">
      <c r="A59" s="3" t="s">
        <v>186</v>
      </c>
      <c r="B59" s="4" t="s">
        <v>187</v>
      </c>
      <c r="C59" s="4" t="s">
        <v>188</v>
      </c>
      <c r="D59" s="5" t="s">
        <v>11</v>
      </c>
      <c r="E59" s="4" t="s">
        <v>189</v>
      </c>
      <c r="F59" s="6" t="s">
        <v>13</v>
      </c>
      <c r="G59" s="7" t="s">
        <v>14</v>
      </c>
      <c r="H59" s="4" t="s">
        <v>190</v>
      </c>
    </row>
    <row r="60" customFormat="false" ht="15" hidden="false" customHeight="true" outlineLevel="0" collapsed="false">
      <c r="A60" s="3" t="s">
        <v>191</v>
      </c>
      <c r="B60" s="4" t="s">
        <v>187</v>
      </c>
      <c r="C60" s="4" t="s">
        <v>192</v>
      </c>
      <c r="D60" s="5" t="s">
        <v>11</v>
      </c>
      <c r="E60" s="4" t="s">
        <v>189</v>
      </c>
      <c r="F60" s="6" t="s">
        <v>13</v>
      </c>
      <c r="G60" s="7" t="s">
        <v>14</v>
      </c>
      <c r="H60" s="4" t="s">
        <v>193</v>
      </c>
    </row>
    <row r="61" customFormat="false" ht="15" hidden="false" customHeight="true" outlineLevel="0" collapsed="false">
      <c r="A61" s="3" t="s">
        <v>194</v>
      </c>
      <c r="B61" s="4" t="s">
        <v>187</v>
      </c>
      <c r="C61" s="4" t="s">
        <v>195</v>
      </c>
      <c r="D61" s="5" t="s">
        <v>11</v>
      </c>
      <c r="E61" s="4" t="s">
        <v>189</v>
      </c>
      <c r="F61" s="6" t="s">
        <v>13</v>
      </c>
      <c r="G61" s="7" t="s">
        <v>14</v>
      </c>
      <c r="H61" s="4" t="s">
        <v>196</v>
      </c>
    </row>
    <row r="62" customFormat="false" ht="15" hidden="false" customHeight="true" outlineLevel="0" collapsed="false">
      <c r="A62" s="3" t="s">
        <v>197</v>
      </c>
      <c r="B62" s="4" t="s">
        <v>187</v>
      </c>
      <c r="C62" s="4" t="s">
        <v>198</v>
      </c>
      <c r="D62" s="5" t="s">
        <v>11</v>
      </c>
      <c r="E62" s="4" t="s">
        <v>44</v>
      </c>
      <c r="F62" s="6" t="s">
        <v>13</v>
      </c>
      <c r="G62" s="7" t="s">
        <v>14</v>
      </c>
      <c r="H62" s="4" t="s">
        <v>199</v>
      </c>
    </row>
    <row r="63" customFormat="false" ht="15" hidden="false" customHeight="true" outlineLevel="0" collapsed="false">
      <c r="A63" s="3" t="s">
        <v>200</v>
      </c>
      <c r="B63" s="4" t="s">
        <v>187</v>
      </c>
      <c r="C63" s="4" t="s">
        <v>201</v>
      </c>
      <c r="D63" s="5" t="s">
        <v>11</v>
      </c>
      <c r="E63" s="4" t="s">
        <v>44</v>
      </c>
      <c r="F63" s="6" t="s">
        <v>13</v>
      </c>
      <c r="G63" s="7" t="s">
        <v>14</v>
      </c>
      <c r="H63" s="4" t="s">
        <v>202</v>
      </c>
    </row>
    <row r="64" customFormat="false" ht="15" hidden="false" customHeight="true" outlineLevel="0" collapsed="false">
      <c r="A64" s="3" t="s">
        <v>203</v>
      </c>
      <c r="B64" s="4" t="s">
        <v>187</v>
      </c>
      <c r="C64" s="4" t="s">
        <v>204</v>
      </c>
      <c r="D64" s="5" t="s">
        <v>11</v>
      </c>
      <c r="E64" s="4" t="s">
        <v>189</v>
      </c>
      <c r="F64" s="6" t="s">
        <v>13</v>
      </c>
      <c r="G64" s="7" t="s">
        <v>14</v>
      </c>
      <c r="H64" s="4" t="s">
        <v>205</v>
      </c>
    </row>
    <row r="65" customFormat="false" ht="15" hidden="false" customHeight="true" outlineLevel="0" collapsed="false">
      <c r="A65" s="3" t="s">
        <v>206</v>
      </c>
      <c r="B65" s="4" t="s">
        <v>187</v>
      </c>
      <c r="C65" s="4" t="s">
        <v>207</v>
      </c>
      <c r="D65" s="5" t="s">
        <v>11</v>
      </c>
      <c r="E65" s="4" t="s">
        <v>189</v>
      </c>
      <c r="F65" s="6" t="s">
        <v>13</v>
      </c>
      <c r="G65" s="7" t="s">
        <v>14</v>
      </c>
      <c r="H65" s="4" t="s">
        <v>208</v>
      </c>
    </row>
    <row r="66" customFormat="false" ht="15" hidden="false" customHeight="true" outlineLevel="0" collapsed="false">
      <c r="A66" s="3" t="s">
        <v>209</v>
      </c>
      <c r="B66" s="4" t="s">
        <v>187</v>
      </c>
      <c r="C66" s="4" t="s">
        <v>210</v>
      </c>
      <c r="D66" s="5" t="s">
        <v>11</v>
      </c>
      <c r="E66" s="4" t="s">
        <v>44</v>
      </c>
      <c r="F66" s="4" t="s">
        <v>27</v>
      </c>
      <c r="G66" s="4" t="s">
        <v>28</v>
      </c>
      <c r="H66" s="4"/>
    </row>
    <row r="67" customFormat="false" ht="15" hidden="false" customHeight="true" outlineLevel="0" collapsed="false">
      <c r="A67" s="3" t="s">
        <v>211</v>
      </c>
      <c r="B67" s="4" t="s">
        <v>187</v>
      </c>
      <c r="C67" s="4" t="s">
        <v>212</v>
      </c>
      <c r="D67" s="5" t="s">
        <v>11</v>
      </c>
      <c r="E67" s="4" t="s">
        <v>189</v>
      </c>
      <c r="F67" s="6" t="s">
        <v>13</v>
      </c>
      <c r="G67" s="7" t="s">
        <v>14</v>
      </c>
      <c r="H67" s="4" t="s">
        <v>213</v>
      </c>
    </row>
    <row r="68" customFormat="false" ht="15" hidden="false" customHeight="true" outlineLevel="0" collapsed="false">
      <c r="A68" s="3" t="s">
        <v>214</v>
      </c>
      <c r="B68" s="4" t="s">
        <v>187</v>
      </c>
      <c r="C68" s="4" t="s">
        <v>215</v>
      </c>
      <c r="D68" s="5" t="s">
        <v>11</v>
      </c>
      <c r="E68" s="4" t="s">
        <v>44</v>
      </c>
      <c r="F68" s="6" t="s">
        <v>13</v>
      </c>
      <c r="G68" s="7" t="s">
        <v>14</v>
      </c>
      <c r="H68" s="4" t="s">
        <v>216</v>
      </c>
    </row>
    <row r="69" customFormat="false" ht="15" hidden="false" customHeight="true" outlineLevel="0" collapsed="false">
      <c r="A69" s="3" t="s">
        <v>217</v>
      </c>
      <c r="B69" s="4" t="s">
        <v>187</v>
      </c>
      <c r="C69" s="4" t="s">
        <v>218</v>
      </c>
      <c r="D69" s="5" t="s">
        <v>11</v>
      </c>
      <c r="E69" s="4" t="s">
        <v>219</v>
      </c>
      <c r="F69" s="4" t="s">
        <v>27</v>
      </c>
      <c r="G69" s="4" t="s">
        <v>28</v>
      </c>
      <c r="H69" s="4"/>
    </row>
    <row r="70" customFormat="false" ht="15" hidden="false" customHeight="true" outlineLevel="0" collapsed="false">
      <c r="A70" s="3" t="s">
        <v>220</v>
      </c>
      <c r="B70" s="4" t="s">
        <v>187</v>
      </c>
      <c r="C70" s="4" t="s">
        <v>221</v>
      </c>
      <c r="D70" s="5" t="s">
        <v>11</v>
      </c>
      <c r="E70" s="4" t="s">
        <v>222</v>
      </c>
      <c r="F70" s="4" t="s">
        <v>27</v>
      </c>
      <c r="G70" s="4" t="s">
        <v>28</v>
      </c>
      <c r="H70" s="4"/>
    </row>
    <row r="71" customFormat="false" ht="15" hidden="false" customHeight="true" outlineLevel="0" collapsed="false">
      <c r="A71" s="3" t="s">
        <v>223</v>
      </c>
      <c r="B71" s="4" t="s">
        <v>187</v>
      </c>
      <c r="C71" s="4" t="s">
        <v>224</v>
      </c>
      <c r="D71" s="5" t="s">
        <v>11</v>
      </c>
      <c r="E71" s="4" t="s">
        <v>44</v>
      </c>
      <c r="F71" s="6" t="s">
        <v>13</v>
      </c>
      <c r="G71" s="7" t="s">
        <v>14</v>
      </c>
      <c r="H71" s="4" t="s">
        <v>225</v>
      </c>
    </row>
    <row r="72" customFormat="false" ht="15" hidden="false" customHeight="true" outlineLevel="0" collapsed="false">
      <c r="A72" s="3" t="s">
        <v>226</v>
      </c>
      <c r="B72" s="4" t="s">
        <v>187</v>
      </c>
      <c r="C72" s="4" t="s">
        <v>227</v>
      </c>
      <c r="D72" s="8" t="s">
        <v>25</v>
      </c>
      <c r="E72" s="4" t="s">
        <v>189</v>
      </c>
      <c r="F72" s="6" t="s">
        <v>13</v>
      </c>
      <c r="G72" s="7" t="s">
        <v>14</v>
      </c>
      <c r="H72" s="4" t="s">
        <v>228</v>
      </c>
    </row>
    <row r="73" customFormat="false" ht="15" hidden="false" customHeight="true" outlineLevel="0" collapsed="false">
      <c r="A73" s="3" t="s">
        <v>229</v>
      </c>
      <c r="B73" s="4" t="s">
        <v>187</v>
      </c>
      <c r="C73" s="4" t="s">
        <v>230</v>
      </c>
      <c r="D73" s="8" t="s">
        <v>25</v>
      </c>
      <c r="E73" s="4" t="s">
        <v>189</v>
      </c>
      <c r="F73" s="6" t="s">
        <v>13</v>
      </c>
      <c r="G73" s="7" t="s">
        <v>14</v>
      </c>
      <c r="H73" s="4" t="s">
        <v>231</v>
      </c>
    </row>
    <row r="74" customFormat="false" ht="15" hidden="false" customHeight="true" outlineLevel="0" collapsed="false">
      <c r="A74" s="3" t="s">
        <v>232</v>
      </c>
      <c r="B74" s="4" t="s">
        <v>187</v>
      </c>
      <c r="C74" s="4" t="s">
        <v>233</v>
      </c>
      <c r="D74" s="8" t="s">
        <v>25</v>
      </c>
      <c r="E74" s="4" t="s">
        <v>234</v>
      </c>
      <c r="F74" s="6" t="s">
        <v>13</v>
      </c>
      <c r="G74" s="7" t="s">
        <v>14</v>
      </c>
      <c r="H74" s="4" t="s">
        <v>235</v>
      </c>
    </row>
    <row r="75" customFormat="false" ht="15" hidden="false" customHeight="true" outlineLevel="0" collapsed="false">
      <c r="A75" s="3" t="s">
        <v>236</v>
      </c>
      <c r="B75" s="4" t="s">
        <v>187</v>
      </c>
      <c r="C75" s="4" t="s">
        <v>237</v>
      </c>
      <c r="D75" s="8" t="s">
        <v>25</v>
      </c>
      <c r="E75" s="4" t="s">
        <v>189</v>
      </c>
      <c r="F75" s="6" t="s">
        <v>13</v>
      </c>
      <c r="G75" s="7" t="s">
        <v>14</v>
      </c>
      <c r="H75" s="4" t="s">
        <v>238</v>
      </c>
    </row>
    <row r="76" customFormat="false" ht="15" hidden="false" customHeight="true" outlineLevel="0" collapsed="false">
      <c r="A76" s="3" t="s">
        <v>239</v>
      </c>
      <c r="B76" s="4" t="s">
        <v>187</v>
      </c>
      <c r="C76" s="4" t="s">
        <v>240</v>
      </c>
      <c r="D76" s="8" t="s">
        <v>25</v>
      </c>
      <c r="E76" s="4" t="s">
        <v>189</v>
      </c>
      <c r="F76" s="6" t="s">
        <v>13</v>
      </c>
      <c r="G76" s="7" t="s">
        <v>14</v>
      </c>
      <c r="H76" s="4" t="s">
        <v>241</v>
      </c>
    </row>
    <row r="77" customFormat="false" ht="15" hidden="false" customHeight="true" outlineLevel="0" collapsed="false">
      <c r="A77" s="3" t="s">
        <v>242</v>
      </c>
      <c r="B77" s="4" t="s">
        <v>187</v>
      </c>
      <c r="C77" s="4" t="s">
        <v>243</v>
      </c>
      <c r="D77" s="8" t="s">
        <v>25</v>
      </c>
      <c r="E77" s="4" t="s">
        <v>234</v>
      </c>
      <c r="F77" s="6" t="s">
        <v>13</v>
      </c>
      <c r="G77" s="7" t="s">
        <v>14</v>
      </c>
      <c r="H77" s="4" t="s">
        <v>244</v>
      </c>
    </row>
    <row r="78" customFormat="false" ht="15" hidden="false" customHeight="true" outlineLevel="0" collapsed="false">
      <c r="A78" s="3" t="s">
        <v>245</v>
      </c>
      <c r="B78" s="4" t="s">
        <v>187</v>
      </c>
      <c r="C78" s="4" t="s">
        <v>246</v>
      </c>
      <c r="D78" s="8" t="s">
        <v>25</v>
      </c>
      <c r="E78" s="4" t="s">
        <v>44</v>
      </c>
      <c r="F78" s="4" t="s">
        <v>27</v>
      </c>
      <c r="G78" s="4" t="s">
        <v>28</v>
      </c>
      <c r="H78" s="4"/>
    </row>
    <row r="79" customFormat="false" ht="15" hidden="false" customHeight="true" outlineLevel="0" collapsed="false">
      <c r="A79" s="3" t="s">
        <v>247</v>
      </c>
      <c r="B79" s="4" t="s">
        <v>187</v>
      </c>
      <c r="C79" s="4" t="s">
        <v>248</v>
      </c>
      <c r="D79" s="8" t="s">
        <v>25</v>
      </c>
      <c r="E79" s="4" t="s">
        <v>189</v>
      </c>
      <c r="F79" s="6" t="s">
        <v>13</v>
      </c>
      <c r="G79" s="7" t="s">
        <v>14</v>
      </c>
      <c r="H79" s="4" t="s">
        <v>249</v>
      </c>
    </row>
    <row r="80" customFormat="false" ht="15" hidden="false" customHeight="true" outlineLevel="0" collapsed="false">
      <c r="A80" s="3" t="s">
        <v>250</v>
      </c>
      <c r="B80" s="4" t="s">
        <v>187</v>
      </c>
      <c r="C80" s="4" t="s">
        <v>251</v>
      </c>
      <c r="D80" s="8" t="s">
        <v>25</v>
      </c>
      <c r="E80" s="4" t="s">
        <v>189</v>
      </c>
      <c r="F80" s="6" t="s">
        <v>13</v>
      </c>
      <c r="G80" s="7" t="s">
        <v>14</v>
      </c>
      <c r="H80" s="4" t="s">
        <v>252</v>
      </c>
    </row>
    <row r="81" customFormat="false" ht="15" hidden="false" customHeight="true" outlineLevel="0" collapsed="false">
      <c r="A81" s="3" t="s">
        <v>253</v>
      </c>
      <c r="B81" s="4" t="s">
        <v>187</v>
      </c>
      <c r="C81" s="4" t="s">
        <v>254</v>
      </c>
      <c r="D81" s="8" t="s">
        <v>25</v>
      </c>
      <c r="E81" s="4" t="s">
        <v>44</v>
      </c>
      <c r="F81" s="4" t="s">
        <v>27</v>
      </c>
      <c r="G81" s="4" t="s">
        <v>28</v>
      </c>
      <c r="H81" s="4"/>
    </row>
    <row r="82" customFormat="false" ht="15" hidden="false" customHeight="true" outlineLevel="0" collapsed="false">
      <c r="A82" s="3" t="s">
        <v>255</v>
      </c>
      <c r="B82" s="4" t="s">
        <v>187</v>
      </c>
      <c r="C82" s="4" t="s">
        <v>256</v>
      </c>
      <c r="D82" s="8" t="s">
        <v>25</v>
      </c>
      <c r="E82" s="4" t="s">
        <v>189</v>
      </c>
      <c r="F82" s="11" t="s">
        <v>137</v>
      </c>
      <c r="G82" s="4" t="s">
        <v>28</v>
      </c>
      <c r="H82" s="4" t="s">
        <v>257</v>
      </c>
    </row>
    <row r="83" customFormat="false" ht="15" hidden="false" customHeight="true" outlineLevel="0" collapsed="false">
      <c r="A83" s="3" t="s">
        <v>258</v>
      </c>
      <c r="B83" s="4" t="s">
        <v>187</v>
      </c>
      <c r="C83" s="4" t="s">
        <v>259</v>
      </c>
      <c r="D83" s="8" t="s">
        <v>25</v>
      </c>
      <c r="E83" s="4" t="s">
        <v>260</v>
      </c>
      <c r="F83" s="4" t="s">
        <v>27</v>
      </c>
      <c r="G83" s="4" t="s">
        <v>28</v>
      </c>
      <c r="H83" s="4"/>
    </row>
    <row r="84" customFormat="false" ht="15" hidden="false" customHeight="true" outlineLevel="0" collapsed="false">
      <c r="A84" s="3" t="s">
        <v>261</v>
      </c>
      <c r="B84" s="4" t="s">
        <v>187</v>
      </c>
      <c r="C84" s="4" t="s">
        <v>262</v>
      </c>
      <c r="D84" s="9" t="s">
        <v>44</v>
      </c>
      <c r="E84" s="4" t="s">
        <v>44</v>
      </c>
      <c r="F84" s="6" t="s">
        <v>13</v>
      </c>
      <c r="G84" s="7" t="s">
        <v>14</v>
      </c>
      <c r="H84" s="4" t="s">
        <v>263</v>
      </c>
    </row>
    <row r="85" customFormat="false" ht="15" hidden="false" customHeight="true" outlineLevel="0" collapsed="false">
      <c r="A85" s="3" t="s">
        <v>264</v>
      </c>
      <c r="B85" s="4" t="s">
        <v>187</v>
      </c>
      <c r="C85" s="4" t="s">
        <v>265</v>
      </c>
      <c r="D85" s="9" t="s">
        <v>44</v>
      </c>
      <c r="E85" s="4" t="s">
        <v>189</v>
      </c>
      <c r="F85" s="4" t="s">
        <v>27</v>
      </c>
      <c r="G85" s="4" t="s">
        <v>28</v>
      </c>
      <c r="H85" s="4"/>
    </row>
    <row r="86" customFormat="false" ht="15" hidden="false" customHeight="true" outlineLevel="0" collapsed="false">
      <c r="A86" s="3" t="s">
        <v>266</v>
      </c>
      <c r="B86" s="4" t="s">
        <v>187</v>
      </c>
      <c r="C86" s="4" t="s">
        <v>267</v>
      </c>
      <c r="D86" s="9" t="s">
        <v>44</v>
      </c>
      <c r="E86" s="4" t="s">
        <v>189</v>
      </c>
      <c r="F86" s="6" t="s">
        <v>13</v>
      </c>
      <c r="G86" s="7" t="s">
        <v>14</v>
      </c>
      <c r="H86" s="4" t="s">
        <v>268</v>
      </c>
    </row>
    <row r="87" customFormat="false" ht="15" hidden="false" customHeight="true" outlineLevel="0" collapsed="false">
      <c r="A87" s="3" t="s">
        <v>269</v>
      </c>
      <c r="B87" s="4" t="s">
        <v>187</v>
      </c>
      <c r="C87" s="4" t="s">
        <v>270</v>
      </c>
      <c r="D87" s="9" t="s">
        <v>44</v>
      </c>
      <c r="E87" s="4" t="s">
        <v>189</v>
      </c>
      <c r="F87" s="6" t="s">
        <v>13</v>
      </c>
      <c r="G87" s="7" t="s">
        <v>14</v>
      </c>
      <c r="H87" s="4" t="s">
        <v>271</v>
      </c>
    </row>
    <row r="88" customFormat="false" ht="15" hidden="false" customHeight="true" outlineLevel="0" collapsed="false">
      <c r="A88" s="3" t="s">
        <v>272</v>
      </c>
      <c r="B88" s="4" t="s">
        <v>187</v>
      </c>
      <c r="C88" s="4" t="s">
        <v>273</v>
      </c>
      <c r="D88" s="9" t="s">
        <v>44</v>
      </c>
      <c r="E88" s="4" t="s">
        <v>44</v>
      </c>
      <c r="F88" s="6" t="s">
        <v>13</v>
      </c>
      <c r="G88" s="7" t="s">
        <v>14</v>
      </c>
      <c r="H88" s="4" t="s">
        <v>274</v>
      </c>
    </row>
    <row r="89" customFormat="false" ht="15" hidden="false" customHeight="true" outlineLevel="0" collapsed="false">
      <c r="A89" s="3" t="s">
        <v>275</v>
      </c>
      <c r="B89" s="4" t="s">
        <v>187</v>
      </c>
      <c r="C89" s="4" t="s">
        <v>276</v>
      </c>
      <c r="D89" s="9" t="s">
        <v>44</v>
      </c>
      <c r="E89" s="4" t="s">
        <v>189</v>
      </c>
      <c r="F89" s="6" t="s">
        <v>13</v>
      </c>
      <c r="G89" s="7" t="s">
        <v>14</v>
      </c>
      <c r="H89" s="4" t="s">
        <v>277</v>
      </c>
    </row>
    <row r="90" customFormat="false" ht="23.25" hidden="false" customHeight="true" outlineLevel="0" collapsed="false">
      <c r="A90" s="3" t="s">
        <v>278</v>
      </c>
      <c r="B90" s="4" t="s">
        <v>279</v>
      </c>
      <c r="C90" s="4" t="s">
        <v>280</v>
      </c>
      <c r="D90" s="5" t="s">
        <v>11</v>
      </c>
      <c r="E90" s="4" t="s">
        <v>281</v>
      </c>
      <c r="F90" s="6" t="s">
        <v>13</v>
      </c>
      <c r="G90" s="7" t="s">
        <v>14</v>
      </c>
      <c r="H90" s="4" t="s">
        <v>282</v>
      </c>
    </row>
    <row r="91" customFormat="false" ht="23.25" hidden="false" customHeight="true" outlineLevel="0" collapsed="false">
      <c r="A91" s="3" t="s">
        <v>283</v>
      </c>
      <c r="B91" s="4" t="s">
        <v>279</v>
      </c>
      <c r="C91" s="4" t="s">
        <v>284</v>
      </c>
      <c r="D91" s="5" t="s">
        <v>11</v>
      </c>
      <c r="E91" s="4" t="s">
        <v>281</v>
      </c>
      <c r="F91" s="6" t="s">
        <v>13</v>
      </c>
      <c r="G91" s="7" t="s">
        <v>14</v>
      </c>
      <c r="H91" s="4" t="s">
        <v>285</v>
      </c>
    </row>
    <row r="92" customFormat="false" ht="15" hidden="false" customHeight="true" outlineLevel="0" collapsed="false">
      <c r="A92" s="3" t="s">
        <v>286</v>
      </c>
      <c r="B92" s="4" t="s">
        <v>279</v>
      </c>
      <c r="C92" s="4" t="s">
        <v>287</v>
      </c>
      <c r="D92" s="5" t="s">
        <v>11</v>
      </c>
      <c r="E92" s="4" t="s">
        <v>54</v>
      </c>
      <c r="F92" s="4" t="s">
        <v>27</v>
      </c>
      <c r="G92" s="4" t="s">
        <v>28</v>
      </c>
      <c r="H92" s="4"/>
    </row>
    <row r="93" customFormat="false" ht="15" hidden="false" customHeight="true" outlineLevel="0" collapsed="false">
      <c r="A93" s="3" t="s">
        <v>288</v>
      </c>
      <c r="B93" s="4" t="s">
        <v>279</v>
      </c>
      <c r="C93" s="4" t="s">
        <v>289</v>
      </c>
      <c r="D93" s="5" t="s">
        <v>11</v>
      </c>
      <c r="E93" s="4" t="s">
        <v>18</v>
      </c>
      <c r="F93" s="6" t="s">
        <v>13</v>
      </c>
      <c r="G93" s="7" t="s">
        <v>14</v>
      </c>
      <c r="H93" s="4" t="s">
        <v>290</v>
      </c>
    </row>
    <row r="94" customFormat="false" ht="15" hidden="false" customHeight="true" outlineLevel="0" collapsed="false">
      <c r="A94" s="3" t="s">
        <v>291</v>
      </c>
      <c r="B94" s="4" t="s">
        <v>279</v>
      </c>
      <c r="C94" s="4" t="s">
        <v>292</v>
      </c>
      <c r="D94" s="5" t="s">
        <v>11</v>
      </c>
      <c r="E94" s="4" t="s">
        <v>293</v>
      </c>
      <c r="F94" s="4" t="s">
        <v>27</v>
      </c>
      <c r="G94" s="4" t="s">
        <v>28</v>
      </c>
      <c r="H94" s="4"/>
    </row>
    <row r="95" customFormat="false" ht="15" hidden="false" customHeight="true" outlineLevel="0" collapsed="false">
      <c r="A95" s="3" t="s">
        <v>294</v>
      </c>
      <c r="B95" s="4" t="s">
        <v>279</v>
      </c>
      <c r="C95" s="4" t="s">
        <v>295</v>
      </c>
      <c r="D95" s="8" t="s">
        <v>25</v>
      </c>
      <c r="E95" s="4" t="s">
        <v>281</v>
      </c>
      <c r="F95" s="4" t="s">
        <v>27</v>
      </c>
      <c r="G95" s="4" t="s">
        <v>28</v>
      </c>
      <c r="H95" s="4"/>
    </row>
    <row r="96" customFormat="false" ht="15" hidden="false" customHeight="true" outlineLevel="0" collapsed="false">
      <c r="A96" s="3" t="s">
        <v>296</v>
      </c>
      <c r="B96" s="4" t="s">
        <v>279</v>
      </c>
      <c r="C96" s="4" t="s">
        <v>297</v>
      </c>
      <c r="D96" s="8" t="s">
        <v>25</v>
      </c>
      <c r="E96" s="4" t="s">
        <v>26</v>
      </c>
      <c r="F96" s="4" t="s">
        <v>27</v>
      </c>
      <c r="G96" s="4" t="s">
        <v>28</v>
      </c>
      <c r="H96" s="4"/>
    </row>
    <row r="97" customFormat="false" ht="15" hidden="false" customHeight="true" outlineLevel="0" collapsed="false">
      <c r="A97" s="3" t="s">
        <v>298</v>
      </c>
      <c r="B97" s="4" t="s">
        <v>279</v>
      </c>
      <c r="C97" s="4" t="s">
        <v>299</v>
      </c>
      <c r="D97" s="8" t="s">
        <v>25</v>
      </c>
      <c r="E97" s="4" t="s">
        <v>26</v>
      </c>
      <c r="F97" s="4" t="s">
        <v>27</v>
      </c>
      <c r="G97" s="4" t="s">
        <v>28</v>
      </c>
      <c r="H97" s="4"/>
    </row>
    <row r="98" customFormat="false" ht="23.25" hidden="false" customHeight="true" outlineLevel="0" collapsed="false">
      <c r="A98" s="3" t="s">
        <v>300</v>
      </c>
      <c r="B98" s="4" t="s">
        <v>279</v>
      </c>
      <c r="C98" s="4" t="s">
        <v>301</v>
      </c>
      <c r="D98" s="8" t="s">
        <v>25</v>
      </c>
      <c r="E98" s="4" t="s">
        <v>302</v>
      </c>
      <c r="F98" s="6" t="s">
        <v>13</v>
      </c>
      <c r="G98" s="7" t="s">
        <v>14</v>
      </c>
      <c r="H98" s="4" t="s">
        <v>303</v>
      </c>
    </row>
    <row r="99" customFormat="false" ht="15" hidden="false" customHeight="true" outlineLevel="0" collapsed="false">
      <c r="A99" s="3" t="s">
        <v>304</v>
      </c>
      <c r="B99" s="4" t="s">
        <v>279</v>
      </c>
      <c r="C99" s="4" t="s">
        <v>305</v>
      </c>
      <c r="D99" s="8" t="s">
        <v>25</v>
      </c>
      <c r="E99" s="4" t="s">
        <v>281</v>
      </c>
      <c r="F99" s="4" t="s">
        <v>27</v>
      </c>
      <c r="G99" s="4" t="s">
        <v>28</v>
      </c>
      <c r="H99" s="4"/>
    </row>
    <row r="100" customFormat="false" ht="15" hidden="false" customHeight="true" outlineLevel="0" collapsed="false">
      <c r="A100" s="3" t="s">
        <v>306</v>
      </c>
      <c r="B100" s="4" t="s">
        <v>279</v>
      </c>
      <c r="C100" s="4" t="s">
        <v>307</v>
      </c>
      <c r="D100" s="8" t="s">
        <v>25</v>
      </c>
      <c r="E100" s="4" t="s">
        <v>308</v>
      </c>
      <c r="F100" s="4" t="s">
        <v>27</v>
      </c>
      <c r="G100" s="4" t="s">
        <v>28</v>
      </c>
      <c r="H100" s="4"/>
    </row>
    <row r="101" customFormat="false" ht="34.5" hidden="false" customHeight="true" outlineLevel="0" collapsed="false">
      <c r="A101" s="3" t="s">
        <v>309</v>
      </c>
      <c r="B101" s="4" t="s">
        <v>279</v>
      </c>
      <c r="C101" s="4" t="s">
        <v>310</v>
      </c>
      <c r="D101" s="8" t="s">
        <v>25</v>
      </c>
      <c r="E101" s="4" t="s">
        <v>302</v>
      </c>
      <c r="F101" s="11" t="s">
        <v>137</v>
      </c>
      <c r="G101" s="7" t="s">
        <v>14</v>
      </c>
      <c r="H101" s="4" t="s">
        <v>311</v>
      </c>
    </row>
    <row r="102" customFormat="false" ht="15" hidden="false" customHeight="true" outlineLevel="0" collapsed="false">
      <c r="A102" s="3" t="s">
        <v>312</v>
      </c>
      <c r="B102" s="4" t="s">
        <v>279</v>
      </c>
      <c r="C102" s="4" t="s">
        <v>313</v>
      </c>
      <c r="D102" s="8" t="s">
        <v>25</v>
      </c>
      <c r="E102" s="4" t="s">
        <v>281</v>
      </c>
      <c r="F102" s="4" t="s">
        <v>27</v>
      </c>
      <c r="G102" s="4" t="s">
        <v>28</v>
      </c>
      <c r="H102" s="4"/>
    </row>
    <row r="103" customFormat="false" ht="15" hidden="false" customHeight="true" outlineLevel="0" collapsed="false">
      <c r="A103" s="3" t="s">
        <v>314</v>
      </c>
      <c r="B103" s="4" t="s">
        <v>279</v>
      </c>
      <c r="C103" s="4" t="s">
        <v>315</v>
      </c>
      <c r="D103" s="9" t="s">
        <v>44</v>
      </c>
      <c r="E103" s="4" t="s">
        <v>26</v>
      </c>
      <c r="F103" s="4" t="s">
        <v>27</v>
      </c>
      <c r="G103" s="4" t="s">
        <v>28</v>
      </c>
      <c r="H103" s="4"/>
    </row>
    <row r="104" customFormat="false" ht="15" hidden="false" customHeight="true" outlineLevel="0" collapsed="false">
      <c r="A104" s="3" t="s">
        <v>316</v>
      </c>
      <c r="B104" s="4" t="s">
        <v>279</v>
      </c>
      <c r="C104" s="4" t="s">
        <v>317</v>
      </c>
      <c r="D104" s="9" t="s">
        <v>44</v>
      </c>
      <c r="E104" s="4" t="s">
        <v>26</v>
      </c>
      <c r="F104" s="4" t="s">
        <v>27</v>
      </c>
      <c r="G104" s="4" t="s">
        <v>28</v>
      </c>
      <c r="H104" s="4"/>
    </row>
    <row r="105" customFormat="false" ht="15" hidden="false" customHeight="true" outlineLevel="0" collapsed="false">
      <c r="A105" s="3" t="s">
        <v>318</v>
      </c>
      <c r="B105" s="4" t="s">
        <v>279</v>
      </c>
      <c r="C105" s="4" t="s">
        <v>319</v>
      </c>
      <c r="D105" s="9" t="s">
        <v>44</v>
      </c>
      <c r="E105" s="4" t="s">
        <v>281</v>
      </c>
      <c r="F105" s="4" t="s">
        <v>27</v>
      </c>
      <c r="G105" s="4" t="s">
        <v>28</v>
      </c>
      <c r="H105" s="4"/>
    </row>
    <row r="106" customFormat="false" ht="15" hidden="false" customHeight="true" outlineLevel="0" collapsed="false">
      <c r="A106" s="3" t="s">
        <v>320</v>
      </c>
      <c r="B106" s="4" t="s">
        <v>279</v>
      </c>
      <c r="C106" s="4" t="s">
        <v>321</v>
      </c>
      <c r="D106" s="9" t="s">
        <v>44</v>
      </c>
      <c r="E106" s="4" t="s">
        <v>281</v>
      </c>
      <c r="F106" s="4" t="s">
        <v>27</v>
      </c>
      <c r="G106" s="4" t="s">
        <v>28</v>
      </c>
      <c r="H106" s="4"/>
    </row>
    <row r="107" customFormat="false" ht="15" hidden="false" customHeight="true" outlineLevel="0" collapsed="false">
      <c r="A107" s="3" t="s">
        <v>322</v>
      </c>
      <c r="B107" s="4" t="s">
        <v>279</v>
      </c>
      <c r="C107" s="4" t="s">
        <v>323</v>
      </c>
      <c r="D107" s="9" t="s">
        <v>44</v>
      </c>
      <c r="E107" s="4" t="s">
        <v>281</v>
      </c>
      <c r="F107" s="4" t="s">
        <v>27</v>
      </c>
      <c r="G107" s="4" t="s">
        <v>28</v>
      </c>
      <c r="H107" s="4"/>
    </row>
    <row r="108" customFormat="false" ht="15" hidden="false" customHeight="true" outlineLevel="0" collapsed="false">
      <c r="A108" s="3" t="s">
        <v>324</v>
      </c>
      <c r="B108" s="4" t="s">
        <v>279</v>
      </c>
      <c r="C108" s="4" t="s">
        <v>325</v>
      </c>
      <c r="D108" s="9" t="s">
        <v>44</v>
      </c>
      <c r="E108" s="4" t="s">
        <v>281</v>
      </c>
      <c r="F108" s="4" t="s">
        <v>27</v>
      </c>
      <c r="G108" s="4" t="s">
        <v>28</v>
      </c>
      <c r="H108" s="4"/>
    </row>
    <row r="109" customFormat="false" ht="15" hidden="false" customHeight="true" outlineLevel="0" collapsed="false">
      <c r="A109" s="3" t="s">
        <v>326</v>
      </c>
      <c r="B109" s="4" t="s">
        <v>279</v>
      </c>
      <c r="C109" s="4" t="s">
        <v>327</v>
      </c>
      <c r="D109" s="9" t="s">
        <v>44</v>
      </c>
      <c r="E109" s="4" t="s">
        <v>281</v>
      </c>
      <c r="F109" s="4" t="s">
        <v>27</v>
      </c>
      <c r="G109" s="4" t="s">
        <v>28</v>
      </c>
      <c r="H109" s="4"/>
    </row>
    <row r="110" customFormat="false" ht="15" hidden="false" customHeight="true" outlineLevel="0" collapsed="false">
      <c r="A110" s="3" t="s">
        <v>328</v>
      </c>
      <c r="B110" s="4" t="s">
        <v>279</v>
      </c>
      <c r="C110" s="4" t="s">
        <v>329</v>
      </c>
      <c r="D110" s="9" t="s">
        <v>44</v>
      </c>
      <c r="E110" s="4" t="s">
        <v>281</v>
      </c>
      <c r="F110" s="4" t="s">
        <v>27</v>
      </c>
      <c r="G110" s="4" t="s">
        <v>28</v>
      </c>
      <c r="H110" s="4"/>
    </row>
    <row r="111" customFormat="false" ht="15" hidden="false" customHeight="true" outlineLevel="0" collapsed="false">
      <c r="A111" s="3" t="s">
        <v>330</v>
      </c>
      <c r="B111" s="4" t="s">
        <v>279</v>
      </c>
      <c r="C111" s="4" t="s">
        <v>331</v>
      </c>
      <c r="D111" s="9" t="s">
        <v>44</v>
      </c>
      <c r="E111" s="4" t="s">
        <v>26</v>
      </c>
      <c r="F111" s="4" t="s">
        <v>27</v>
      </c>
      <c r="G111" s="4" t="s">
        <v>28</v>
      </c>
      <c r="H111" s="4"/>
    </row>
    <row r="112" customFormat="false" ht="15" hidden="false" customHeight="true" outlineLevel="0" collapsed="false">
      <c r="A112" s="3" t="s">
        <v>332</v>
      </c>
      <c r="B112" s="4" t="s">
        <v>279</v>
      </c>
      <c r="C112" s="4" t="s">
        <v>333</v>
      </c>
      <c r="D112" s="9" t="s">
        <v>44</v>
      </c>
      <c r="E112" s="4" t="s">
        <v>281</v>
      </c>
      <c r="F112" s="4" t="s">
        <v>27</v>
      </c>
      <c r="G112" s="4" t="s">
        <v>28</v>
      </c>
      <c r="H112" s="4"/>
    </row>
    <row r="113" customFormat="false" ht="15" hidden="false" customHeight="true" outlineLevel="0" collapsed="false">
      <c r="A113" s="3" t="s">
        <v>334</v>
      </c>
      <c r="B113" s="4" t="s">
        <v>279</v>
      </c>
      <c r="C113" s="4" t="s">
        <v>335</v>
      </c>
      <c r="D113" s="9" t="s">
        <v>44</v>
      </c>
      <c r="E113" s="4" t="s">
        <v>308</v>
      </c>
      <c r="F113" s="4" t="s">
        <v>27</v>
      </c>
      <c r="G113" s="4" t="s">
        <v>28</v>
      </c>
      <c r="H113" s="4"/>
    </row>
    <row r="114" customFormat="false" ht="15" hidden="false" customHeight="true" outlineLevel="0" collapsed="false">
      <c r="A114" s="3" t="s">
        <v>336</v>
      </c>
      <c r="B114" s="4" t="s">
        <v>279</v>
      </c>
      <c r="C114" s="4" t="s">
        <v>337</v>
      </c>
      <c r="D114" s="9" t="s">
        <v>44</v>
      </c>
      <c r="E114" s="4" t="s">
        <v>338</v>
      </c>
      <c r="F114" s="4" t="s">
        <v>27</v>
      </c>
      <c r="G114" s="4" t="s">
        <v>28</v>
      </c>
      <c r="H114" s="4"/>
    </row>
    <row r="115" customFormat="false" ht="15" hidden="false" customHeight="true" outlineLevel="0" collapsed="false">
      <c r="A115" s="3" t="s">
        <v>339</v>
      </c>
      <c r="B115" s="4" t="s">
        <v>279</v>
      </c>
      <c r="C115" s="4" t="s">
        <v>340</v>
      </c>
      <c r="D115" s="9" t="s">
        <v>44</v>
      </c>
      <c r="E115" s="4" t="s">
        <v>302</v>
      </c>
      <c r="F115" s="4" t="s">
        <v>27</v>
      </c>
      <c r="G115" s="4" t="s">
        <v>28</v>
      </c>
      <c r="H115" s="4"/>
    </row>
    <row r="116" customFormat="false" ht="15" hidden="false" customHeight="true" outlineLevel="0" collapsed="false">
      <c r="A116" s="3" t="s">
        <v>341</v>
      </c>
      <c r="B116" s="4" t="s">
        <v>279</v>
      </c>
      <c r="C116" s="4" t="s">
        <v>342</v>
      </c>
      <c r="D116" s="10" t="s">
        <v>69</v>
      </c>
      <c r="E116" s="4" t="s">
        <v>308</v>
      </c>
      <c r="F116" s="4" t="s">
        <v>27</v>
      </c>
      <c r="G116" s="4" t="s">
        <v>28</v>
      </c>
      <c r="H116" s="4"/>
    </row>
    <row r="117" customFormat="false" ht="15" hidden="false" customHeight="true" outlineLevel="0" collapsed="false">
      <c r="A117" s="3" t="s">
        <v>343</v>
      </c>
      <c r="B117" s="4" t="s">
        <v>279</v>
      </c>
      <c r="C117" s="4" t="s">
        <v>344</v>
      </c>
      <c r="D117" s="10" t="s">
        <v>69</v>
      </c>
      <c r="E117" s="4" t="s">
        <v>281</v>
      </c>
      <c r="F117" s="4" t="s">
        <v>27</v>
      </c>
      <c r="G117" s="4" t="s">
        <v>28</v>
      </c>
      <c r="H117" s="4"/>
    </row>
    <row r="118" customFormat="false" ht="15" hidden="false" customHeight="true" outlineLevel="0" collapsed="false">
      <c r="A118" s="3" t="s">
        <v>345</v>
      </c>
      <c r="B118" s="4" t="s">
        <v>279</v>
      </c>
      <c r="C118" s="4" t="s">
        <v>346</v>
      </c>
      <c r="D118" s="10" t="s">
        <v>69</v>
      </c>
      <c r="E118" s="4" t="s">
        <v>281</v>
      </c>
      <c r="F118" s="4" t="s">
        <v>27</v>
      </c>
      <c r="G118" s="4" t="s">
        <v>28</v>
      </c>
      <c r="H118" s="4"/>
    </row>
    <row r="119" customFormat="false" ht="23.25" hidden="false" customHeight="true" outlineLevel="0" collapsed="false">
      <c r="A119" s="3" t="s">
        <v>347</v>
      </c>
      <c r="B119" s="4" t="s">
        <v>279</v>
      </c>
      <c r="C119" s="4" t="s">
        <v>348</v>
      </c>
      <c r="D119" s="10" t="s">
        <v>69</v>
      </c>
      <c r="E119" s="4" t="s">
        <v>349</v>
      </c>
      <c r="F119" s="12" t="s">
        <v>350</v>
      </c>
      <c r="G119" s="4" t="s">
        <v>28</v>
      </c>
      <c r="H119" s="4"/>
    </row>
    <row r="120" customFormat="false" ht="23.25" hidden="false" customHeight="true" outlineLevel="0" collapsed="false">
      <c r="A120" s="3" t="s">
        <v>351</v>
      </c>
      <c r="B120" s="4" t="s">
        <v>352</v>
      </c>
      <c r="C120" s="4" t="s">
        <v>353</v>
      </c>
      <c r="D120" s="5" t="s">
        <v>11</v>
      </c>
      <c r="E120" s="4" t="s">
        <v>54</v>
      </c>
      <c r="F120" s="4" t="s">
        <v>27</v>
      </c>
      <c r="G120" s="7" t="s">
        <v>14</v>
      </c>
      <c r="H120" s="4" t="s">
        <v>354</v>
      </c>
    </row>
    <row r="121" customFormat="false" ht="15" hidden="false" customHeight="true" outlineLevel="0" collapsed="false">
      <c r="A121" s="3" t="s">
        <v>355</v>
      </c>
      <c r="B121" s="4" t="s">
        <v>352</v>
      </c>
      <c r="C121" s="4" t="s">
        <v>356</v>
      </c>
      <c r="D121" s="5" t="s">
        <v>11</v>
      </c>
      <c r="E121" s="4" t="s">
        <v>54</v>
      </c>
      <c r="F121" s="4" t="s">
        <v>27</v>
      </c>
      <c r="G121" s="4" t="s">
        <v>28</v>
      </c>
      <c r="H121" s="4"/>
    </row>
    <row r="122" customFormat="false" ht="23.25" hidden="false" customHeight="true" outlineLevel="0" collapsed="false">
      <c r="A122" s="3" t="s">
        <v>357</v>
      </c>
      <c r="B122" s="4" t="s">
        <v>352</v>
      </c>
      <c r="C122" s="4" t="s">
        <v>358</v>
      </c>
      <c r="D122" s="5" t="s">
        <v>11</v>
      </c>
      <c r="E122" s="4" t="s">
        <v>189</v>
      </c>
      <c r="F122" s="6" t="s">
        <v>13</v>
      </c>
      <c r="G122" s="7" t="s">
        <v>14</v>
      </c>
      <c r="H122" s="4" t="s">
        <v>359</v>
      </c>
    </row>
    <row r="123" customFormat="false" ht="15" hidden="false" customHeight="true" outlineLevel="0" collapsed="false">
      <c r="A123" s="3" t="s">
        <v>360</v>
      </c>
      <c r="B123" s="4" t="s">
        <v>352</v>
      </c>
      <c r="C123" s="4" t="s">
        <v>361</v>
      </c>
      <c r="D123" s="8" t="s">
        <v>25</v>
      </c>
      <c r="E123" s="4" t="s">
        <v>362</v>
      </c>
      <c r="F123" s="4" t="s">
        <v>27</v>
      </c>
      <c r="G123" s="4" t="s">
        <v>28</v>
      </c>
      <c r="H123" s="4"/>
    </row>
    <row r="124" customFormat="false" ht="15" hidden="false" customHeight="true" outlineLevel="0" collapsed="false">
      <c r="A124" s="3" t="s">
        <v>363</v>
      </c>
      <c r="B124" s="4" t="s">
        <v>352</v>
      </c>
      <c r="C124" s="4" t="s">
        <v>364</v>
      </c>
      <c r="D124" s="8" t="s">
        <v>25</v>
      </c>
      <c r="E124" s="4" t="s">
        <v>54</v>
      </c>
      <c r="F124" s="4" t="s">
        <v>27</v>
      </c>
      <c r="G124" s="4" t="s">
        <v>28</v>
      </c>
      <c r="H124" s="4"/>
    </row>
    <row r="125" customFormat="false" ht="15" hidden="false" customHeight="true" outlineLevel="0" collapsed="false">
      <c r="A125" s="3" t="s">
        <v>365</v>
      </c>
      <c r="B125" s="4" t="s">
        <v>352</v>
      </c>
      <c r="C125" s="4" t="s">
        <v>366</v>
      </c>
      <c r="D125" s="8" t="s">
        <v>25</v>
      </c>
      <c r="E125" s="4" t="s">
        <v>189</v>
      </c>
      <c r="F125" s="4" t="s">
        <v>27</v>
      </c>
      <c r="G125" s="4" t="s">
        <v>28</v>
      </c>
      <c r="H125" s="4"/>
    </row>
    <row r="126" customFormat="false" ht="15" hidden="false" customHeight="true" outlineLevel="0" collapsed="false">
      <c r="A126" s="3" t="s">
        <v>367</v>
      </c>
      <c r="B126" s="4" t="s">
        <v>352</v>
      </c>
      <c r="C126" s="4" t="s">
        <v>368</v>
      </c>
      <c r="D126" s="8" t="s">
        <v>25</v>
      </c>
      <c r="E126" s="4" t="s">
        <v>189</v>
      </c>
      <c r="F126" s="4" t="s">
        <v>27</v>
      </c>
      <c r="G126" s="4" t="s">
        <v>28</v>
      </c>
      <c r="H126" s="4"/>
    </row>
    <row r="127" customFormat="false" ht="15" hidden="false" customHeight="true" outlineLevel="0" collapsed="false">
      <c r="A127" s="3" t="s">
        <v>369</v>
      </c>
      <c r="B127" s="4" t="s">
        <v>352</v>
      </c>
      <c r="C127" s="4" t="s">
        <v>370</v>
      </c>
      <c r="D127" s="8" t="s">
        <v>25</v>
      </c>
      <c r="E127" s="4" t="s">
        <v>189</v>
      </c>
      <c r="F127" s="4" t="s">
        <v>27</v>
      </c>
      <c r="G127" s="4" t="s">
        <v>28</v>
      </c>
      <c r="H127" s="4"/>
    </row>
    <row r="128" customFormat="false" ht="15" hidden="false" customHeight="true" outlineLevel="0" collapsed="false">
      <c r="A128" s="3" t="s">
        <v>371</v>
      </c>
      <c r="B128" s="4" t="s">
        <v>352</v>
      </c>
      <c r="C128" s="4" t="s">
        <v>372</v>
      </c>
      <c r="D128" s="8" t="s">
        <v>25</v>
      </c>
      <c r="E128" s="4" t="s">
        <v>189</v>
      </c>
      <c r="F128" s="4" t="s">
        <v>27</v>
      </c>
      <c r="G128" s="4" t="s">
        <v>28</v>
      </c>
      <c r="H128" s="4"/>
    </row>
    <row r="129" customFormat="false" ht="15" hidden="false" customHeight="true" outlineLevel="0" collapsed="false">
      <c r="A129" s="3" t="s">
        <v>373</v>
      </c>
      <c r="B129" s="4" t="s">
        <v>352</v>
      </c>
      <c r="C129" s="4" t="s">
        <v>374</v>
      </c>
      <c r="D129" s="8" t="s">
        <v>25</v>
      </c>
      <c r="E129" s="4" t="s">
        <v>189</v>
      </c>
      <c r="F129" s="4" t="s">
        <v>27</v>
      </c>
      <c r="G129" s="4" t="s">
        <v>28</v>
      </c>
      <c r="H129" s="4"/>
    </row>
    <row r="130" customFormat="false" ht="15" hidden="false" customHeight="true" outlineLevel="0" collapsed="false">
      <c r="A130" s="3" t="s">
        <v>375</v>
      </c>
      <c r="B130" s="4" t="s">
        <v>352</v>
      </c>
      <c r="C130" s="4" t="s">
        <v>376</v>
      </c>
      <c r="D130" s="8" t="s">
        <v>25</v>
      </c>
      <c r="E130" s="4" t="s">
        <v>54</v>
      </c>
      <c r="F130" s="4" t="s">
        <v>27</v>
      </c>
      <c r="G130" s="4" t="s">
        <v>28</v>
      </c>
      <c r="H130" s="4"/>
    </row>
    <row r="131" customFormat="false" ht="15" hidden="false" customHeight="true" outlineLevel="0" collapsed="false">
      <c r="A131" s="3" t="s">
        <v>377</v>
      </c>
      <c r="B131" s="4" t="s">
        <v>352</v>
      </c>
      <c r="C131" s="4" t="s">
        <v>378</v>
      </c>
      <c r="D131" s="8" t="s">
        <v>25</v>
      </c>
      <c r="E131" s="4" t="s">
        <v>54</v>
      </c>
      <c r="F131" s="4" t="s">
        <v>27</v>
      </c>
      <c r="G131" s="4" t="s">
        <v>28</v>
      </c>
      <c r="H131" s="4"/>
    </row>
    <row r="132" customFormat="false" ht="15" hidden="false" customHeight="true" outlineLevel="0" collapsed="false">
      <c r="A132" s="3" t="s">
        <v>379</v>
      </c>
      <c r="B132" s="4" t="s">
        <v>352</v>
      </c>
      <c r="C132" s="4" t="s">
        <v>380</v>
      </c>
      <c r="D132" s="9" t="s">
        <v>44</v>
      </c>
      <c r="E132" s="4" t="s">
        <v>54</v>
      </c>
      <c r="F132" s="4" t="s">
        <v>27</v>
      </c>
      <c r="G132" s="4" t="s">
        <v>28</v>
      </c>
      <c r="H132" s="4"/>
    </row>
    <row r="133" customFormat="false" ht="15" hidden="false" customHeight="true" outlineLevel="0" collapsed="false">
      <c r="A133" s="3" t="s">
        <v>381</v>
      </c>
      <c r="B133" s="4" t="s">
        <v>352</v>
      </c>
      <c r="C133" s="4" t="s">
        <v>382</v>
      </c>
      <c r="D133" s="9" t="s">
        <v>44</v>
      </c>
      <c r="E133" s="4" t="s">
        <v>189</v>
      </c>
      <c r="F133" s="4" t="s">
        <v>27</v>
      </c>
      <c r="G133" s="4" t="s">
        <v>28</v>
      </c>
      <c r="H133" s="4"/>
    </row>
    <row r="134" customFormat="false" ht="15" hidden="false" customHeight="true" outlineLevel="0" collapsed="false">
      <c r="A134" s="3" t="s">
        <v>383</v>
      </c>
      <c r="B134" s="4" t="s">
        <v>352</v>
      </c>
      <c r="C134" s="4" t="s">
        <v>384</v>
      </c>
      <c r="D134" s="9" t="s">
        <v>44</v>
      </c>
      <c r="E134" s="4" t="s">
        <v>189</v>
      </c>
      <c r="F134" s="4" t="s">
        <v>27</v>
      </c>
      <c r="G134" s="4" t="s">
        <v>28</v>
      </c>
      <c r="H134" s="4"/>
    </row>
    <row r="135" customFormat="false" ht="15" hidden="false" customHeight="true" outlineLevel="0" collapsed="false">
      <c r="A135" s="3" t="s">
        <v>385</v>
      </c>
      <c r="B135" s="4" t="s">
        <v>352</v>
      </c>
      <c r="C135" s="4" t="s">
        <v>386</v>
      </c>
      <c r="D135" s="9" t="s">
        <v>44</v>
      </c>
      <c r="E135" s="4" t="s">
        <v>189</v>
      </c>
      <c r="F135" s="4" t="s">
        <v>27</v>
      </c>
      <c r="G135" s="4" t="s">
        <v>28</v>
      </c>
      <c r="H135" s="4"/>
    </row>
    <row r="136" customFormat="false" ht="15" hidden="false" customHeight="true" outlineLevel="0" collapsed="false">
      <c r="A136" s="3" t="s">
        <v>387</v>
      </c>
      <c r="B136" s="4" t="s">
        <v>352</v>
      </c>
      <c r="C136" s="4" t="s">
        <v>388</v>
      </c>
      <c r="D136" s="9" t="s">
        <v>44</v>
      </c>
      <c r="E136" s="4" t="s">
        <v>389</v>
      </c>
      <c r="F136" s="4" t="s">
        <v>27</v>
      </c>
      <c r="G136" s="4" t="s">
        <v>28</v>
      </c>
      <c r="H136" s="4"/>
    </row>
    <row r="137" customFormat="false" ht="15" hidden="false" customHeight="true" outlineLevel="0" collapsed="false">
      <c r="A137" s="3" t="s">
        <v>390</v>
      </c>
      <c r="B137" s="4" t="s">
        <v>352</v>
      </c>
      <c r="C137" s="4" t="s">
        <v>391</v>
      </c>
      <c r="D137" s="9" t="s">
        <v>44</v>
      </c>
      <c r="E137" s="4" t="s">
        <v>189</v>
      </c>
      <c r="F137" s="4" t="s">
        <v>27</v>
      </c>
      <c r="G137" s="4" t="s">
        <v>28</v>
      </c>
      <c r="H137" s="4"/>
    </row>
    <row r="138" customFormat="false" ht="15" hidden="false" customHeight="true" outlineLevel="0" collapsed="false">
      <c r="A138" s="3" t="s">
        <v>392</v>
      </c>
      <c r="B138" s="4" t="s">
        <v>352</v>
      </c>
      <c r="C138" s="4" t="s">
        <v>393</v>
      </c>
      <c r="D138" s="10" t="s">
        <v>69</v>
      </c>
      <c r="E138" s="4" t="s">
        <v>189</v>
      </c>
      <c r="F138" s="4" t="s">
        <v>27</v>
      </c>
      <c r="G138" s="4" t="s">
        <v>28</v>
      </c>
      <c r="H138" s="4"/>
    </row>
    <row r="139" customFormat="false" ht="15" hidden="false" customHeight="true" outlineLevel="0" collapsed="false">
      <c r="A139" s="3" t="s">
        <v>394</v>
      </c>
      <c r="B139" s="4" t="s">
        <v>352</v>
      </c>
      <c r="C139" s="4" t="s">
        <v>395</v>
      </c>
      <c r="D139" s="10" t="s">
        <v>69</v>
      </c>
      <c r="E139" s="4" t="s">
        <v>54</v>
      </c>
      <c r="F139" s="4" t="s">
        <v>27</v>
      </c>
      <c r="G139" s="4" t="s">
        <v>28</v>
      </c>
      <c r="H139" s="4"/>
    </row>
    <row r="140" customFormat="false" ht="15" hidden="false" customHeight="true" outlineLevel="0" collapsed="false">
      <c r="A140" s="3" t="s">
        <v>396</v>
      </c>
      <c r="B140" s="4" t="s">
        <v>397</v>
      </c>
      <c r="C140" s="4" t="s">
        <v>398</v>
      </c>
      <c r="D140" s="5" t="s">
        <v>11</v>
      </c>
      <c r="E140" s="4" t="s">
        <v>260</v>
      </c>
      <c r="F140" s="4" t="s">
        <v>27</v>
      </c>
      <c r="G140" s="4" t="s">
        <v>28</v>
      </c>
      <c r="H140" s="4"/>
    </row>
    <row r="141" customFormat="false" ht="15" hidden="false" customHeight="true" outlineLevel="0" collapsed="false">
      <c r="A141" s="3" t="s">
        <v>399</v>
      </c>
      <c r="B141" s="4" t="s">
        <v>397</v>
      </c>
      <c r="C141" s="4" t="s">
        <v>400</v>
      </c>
      <c r="D141" s="5" t="s">
        <v>11</v>
      </c>
      <c r="E141" s="4" t="s">
        <v>401</v>
      </c>
      <c r="F141" s="4" t="s">
        <v>27</v>
      </c>
      <c r="G141" s="4" t="s">
        <v>28</v>
      </c>
      <c r="H141" s="4"/>
    </row>
    <row r="142" customFormat="false" ht="15" hidden="false" customHeight="true" outlineLevel="0" collapsed="false">
      <c r="A142" s="3" t="s">
        <v>402</v>
      </c>
      <c r="B142" s="4" t="s">
        <v>397</v>
      </c>
      <c r="C142" s="4" t="s">
        <v>403</v>
      </c>
      <c r="D142" s="5" t="s">
        <v>11</v>
      </c>
      <c r="E142" s="4" t="s">
        <v>401</v>
      </c>
      <c r="F142" s="4" t="s">
        <v>27</v>
      </c>
      <c r="G142" s="4" t="s">
        <v>28</v>
      </c>
      <c r="H142" s="4"/>
    </row>
    <row r="143" customFormat="false" ht="15" hidden="false" customHeight="true" outlineLevel="0" collapsed="false">
      <c r="A143" s="3" t="s">
        <v>404</v>
      </c>
      <c r="B143" s="4" t="s">
        <v>397</v>
      </c>
      <c r="C143" s="4" t="s">
        <v>405</v>
      </c>
      <c r="D143" s="5" t="s">
        <v>11</v>
      </c>
      <c r="E143" s="4" t="s">
        <v>260</v>
      </c>
      <c r="F143" s="4" t="s">
        <v>27</v>
      </c>
      <c r="G143" s="4" t="s">
        <v>28</v>
      </c>
      <c r="H143" s="4"/>
    </row>
    <row r="144" customFormat="false" ht="15" hidden="false" customHeight="true" outlineLevel="0" collapsed="false">
      <c r="A144" s="3" t="s">
        <v>406</v>
      </c>
      <c r="B144" s="4" t="s">
        <v>397</v>
      </c>
      <c r="C144" s="4" t="s">
        <v>407</v>
      </c>
      <c r="D144" s="5" t="s">
        <v>11</v>
      </c>
      <c r="E144" s="4" t="s">
        <v>260</v>
      </c>
      <c r="F144" s="6" t="s">
        <v>13</v>
      </c>
      <c r="G144" s="7" t="s">
        <v>14</v>
      </c>
      <c r="H144" s="4" t="s">
        <v>408</v>
      </c>
    </row>
    <row r="145" customFormat="false" ht="15" hidden="false" customHeight="true" outlineLevel="0" collapsed="false">
      <c r="A145" s="3" t="s">
        <v>409</v>
      </c>
      <c r="B145" s="4" t="s">
        <v>397</v>
      </c>
      <c r="C145" s="4" t="s">
        <v>410</v>
      </c>
      <c r="D145" s="5" t="s">
        <v>11</v>
      </c>
      <c r="E145" s="4" t="s">
        <v>411</v>
      </c>
      <c r="F145" s="6" t="s">
        <v>13</v>
      </c>
      <c r="G145" s="7" t="s">
        <v>14</v>
      </c>
      <c r="H145" s="4" t="s">
        <v>412</v>
      </c>
    </row>
    <row r="146" customFormat="false" ht="15" hidden="false" customHeight="true" outlineLevel="0" collapsed="false">
      <c r="A146" s="3" t="s">
        <v>413</v>
      </c>
      <c r="B146" s="4" t="s">
        <v>397</v>
      </c>
      <c r="C146" s="4" t="s">
        <v>414</v>
      </c>
      <c r="D146" s="5" t="s">
        <v>11</v>
      </c>
      <c r="E146" s="4" t="s">
        <v>411</v>
      </c>
      <c r="F146" s="4" t="s">
        <v>27</v>
      </c>
      <c r="G146" s="4" t="s">
        <v>28</v>
      </c>
      <c r="H146" s="4"/>
    </row>
    <row r="147" customFormat="false" ht="15" hidden="false" customHeight="true" outlineLevel="0" collapsed="false">
      <c r="A147" s="3" t="s">
        <v>415</v>
      </c>
      <c r="B147" s="4" t="s">
        <v>397</v>
      </c>
      <c r="C147" s="4" t="s">
        <v>416</v>
      </c>
      <c r="D147" s="8" t="s">
        <v>25</v>
      </c>
      <c r="E147" s="4" t="s">
        <v>260</v>
      </c>
      <c r="F147" s="4" t="s">
        <v>27</v>
      </c>
      <c r="G147" s="4" t="s">
        <v>28</v>
      </c>
      <c r="H147" s="4"/>
    </row>
    <row r="148" customFormat="false" ht="15" hidden="false" customHeight="true" outlineLevel="0" collapsed="false">
      <c r="A148" s="3" t="s">
        <v>417</v>
      </c>
      <c r="B148" s="4" t="s">
        <v>397</v>
      </c>
      <c r="C148" s="4" t="s">
        <v>418</v>
      </c>
      <c r="D148" s="8" t="s">
        <v>25</v>
      </c>
      <c r="E148" s="4" t="s">
        <v>260</v>
      </c>
      <c r="F148" s="4" t="s">
        <v>27</v>
      </c>
      <c r="G148" s="4" t="s">
        <v>28</v>
      </c>
      <c r="H148" s="4"/>
    </row>
    <row r="149" customFormat="false" ht="15" hidden="false" customHeight="true" outlineLevel="0" collapsed="false">
      <c r="A149" s="3" t="s">
        <v>419</v>
      </c>
      <c r="B149" s="4" t="s">
        <v>397</v>
      </c>
      <c r="C149" s="4" t="s">
        <v>420</v>
      </c>
      <c r="D149" s="8" t="s">
        <v>25</v>
      </c>
      <c r="E149" s="4" t="s">
        <v>260</v>
      </c>
      <c r="F149" s="4" t="s">
        <v>27</v>
      </c>
      <c r="G149" s="4" t="s">
        <v>28</v>
      </c>
      <c r="H149" s="4"/>
    </row>
    <row r="150" customFormat="false" ht="15" hidden="false" customHeight="true" outlineLevel="0" collapsed="false">
      <c r="A150" s="3" t="s">
        <v>421</v>
      </c>
      <c r="B150" s="4" t="s">
        <v>397</v>
      </c>
      <c r="C150" s="4" t="s">
        <v>422</v>
      </c>
      <c r="D150" s="8" t="s">
        <v>25</v>
      </c>
      <c r="E150" s="4" t="s">
        <v>260</v>
      </c>
      <c r="F150" s="4" t="s">
        <v>27</v>
      </c>
      <c r="G150" s="4" t="s">
        <v>28</v>
      </c>
      <c r="H150" s="4"/>
    </row>
    <row r="151" customFormat="false" ht="15" hidden="false" customHeight="true" outlineLevel="0" collapsed="false">
      <c r="A151" s="3" t="s">
        <v>423</v>
      </c>
      <c r="B151" s="4" t="s">
        <v>397</v>
      </c>
      <c r="C151" s="4" t="s">
        <v>424</v>
      </c>
      <c r="D151" s="8" t="s">
        <v>25</v>
      </c>
      <c r="E151" s="4" t="s">
        <v>260</v>
      </c>
      <c r="F151" s="4" t="s">
        <v>27</v>
      </c>
      <c r="G151" s="4" t="s">
        <v>28</v>
      </c>
      <c r="H151" s="4"/>
    </row>
    <row r="152" customFormat="false" ht="15" hidden="false" customHeight="true" outlineLevel="0" collapsed="false">
      <c r="A152" s="3" t="s">
        <v>425</v>
      </c>
      <c r="B152" s="4" t="s">
        <v>397</v>
      </c>
      <c r="C152" s="4" t="s">
        <v>426</v>
      </c>
      <c r="D152" s="8" t="s">
        <v>25</v>
      </c>
      <c r="E152" s="4" t="s">
        <v>427</v>
      </c>
      <c r="F152" s="4" t="s">
        <v>27</v>
      </c>
      <c r="G152" s="4" t="s">
        <v>28</v>
      </c>
      <c r="H152" s="4"/>
    </row>
    <row r="153" customFormat="false" ht="15" hidden="false" customHeight="true" outlineLevel="0" collapsed="false">
      <c r="A153" s="3" t="s">
        <v>428</v>
      </c>
      <c r="B153" s="4" t="s">
        <v>397</v>
      </c>
      <c r="C153" s="4" t="s">
        <v>429</v>
      </c>
      <c r="D153" s="8" t="s">
        <v>25</v>
      </c>
      <c r="E153" s="4" t="s">
        <v>260</v>
      </c>
      <c r="F153" s="4" t="s">
        <v>27</v>
      </c>
      <c r="G153" s="4" t="s">
        <v>28</v>
      </c>
      <c r="H153" s="4"/>
    </row>
    <row r="154" customFormat="false" ht="15" hidden="false" customHeight="true" outlineLevel="0" collapsed="false">
      <c r="A154" s="3" t="s">
        <v>430</v>
      </c>
      <c r="B154" s="4" t="s">
        <v>397</v>
      </c>
      <c r="C154" s="4" t="s">
        <v>431</v>
      </c>
      <c r="D154" s="8" t="s">
        <v>25</v>
      </c>
      <c r="E154" s="4" t="s">
        <v>401</v>
      </c>
      <c r="F154" s="4" t="s">
        <v>27</v>
      </c>
      <c r="G154" s="4" t="s">
        <v>28</v>
      </c>
      <c r="H154" s="4"/>
    </row>
    <row r="155" customFormat="false" ht="15" hidden="false" customHeight="true" outlineLevel="0" collapsed="false">
      <c r="A155" s="3" t="s">
        <v>432</v>
      </c>
      <c r="B155" s="4" t="s">
        <v>397</v>
      </c>
      <c r="C155" s="4" t="s">
        <v>433</v>
      </c>
      <c r="D155" s="8" t="s">
        <v>25</v>
      </c>
      <c r="E155" s="4" t="s">
        <v>260</v>
      </c>
      <c r="F155" s="4" t="s">
        <v>27</v>
      </c>
      <c r="G155" s="4" t="s">
        <v>28</v>
      </c>
      <c r="H155" s="4"/>
    </row>
    <row r="156" customFormat="false" ht="15" hidden="false" customHeight="true" outlineLevel="0" collapsed="false">
      <c r="A156" s="3" t="s">
        <v>434</v>
      </c>
      <c r="B156" s="4" t="s">
        <v>397</v>
      </c>
      <c r="C156" s="4" t="s">
        <v>435</v>
      </c>
      <c r="D156" s="8" t="s">
        <v>25</v>
      </c>
      <c r="E156" s="4" t="s">
        <v>260</v>
      </c>
      <c r="F156" s="4" t="s">
        <v>27</v>
      </c>
      <c r="G156" s="4" t="s">
        <v>28</v>
      </c>
      <c r="H156" s="4"/>
    </row>
    <row r="157" customFormat="false" ht="15" hidden="false" customHeight="true" outlineLevel="0" collapsed="false">
      <c r="A157" s="3" t="s">
        <v>436</v>
      </c>
      <c r="B157" s="4" t="s">
        <v>397</v>
      </c>
      <c r="C157" s="4" t="s">
        <v>437</v>
      </c>
      <c r="D157" s="8" t="s">
        <v>25</v>
      </c>
      <c r="E157" s="4" t="s">
        <v>401</v>
      </c>
      <c r="F157" s="4" t="s">
        <v>27</v>
      </c>
      <c r="G157" s="4" t="s">
        <v>28</v>
      </c>
      <c r="H157" s="4"/>
    </row>
    <row r="158" customFormat="false" ht="15" hidden="false" customHeight="true" outlineLevel="0" collapsed="false">
      <c r="A158" s="3" t="s">
        <v>438</v>
      </c>
      <c r="B158" s="4" t="s">
        <v>397</v>
      </c>
      <c r="C158" s="4" t="s">
        <v>439</v>
      </c>
      <c r="D158" s="8" t="s">
        <v>25</v>
      </c>
      <c r="E158" s="4" t="s">
        <v>260</v>
      </c>
      <c r="F158" s="4" t="s">
        <v>27</v>
      </c>
      <c r="G158" s="4" t="s">
        <v>28</v>
      </c>
      <c r="H158" s="4"/>
    </row>
    <row r="159" customFormat="false" ht="15" hidden="false" customHeight="true" outlineLevel="0" collapsed="false">
      <c r="A159" s="3" t="s">
        <v>440</v>
      </c>
      <c r="B159" s="4" t="s">
        <v>397</v>
      </c>
      <c r="C159" s="4" t="s">
        <v>441</v>
      </c>
      <c r="D159" s="8" t="s">
        <v>25</v>
      </c>
      <c r="E159" s="4" t="s">
        <v>260</v>
      </c>
      <c r="F159" s="4" t="s">
        <v>27</v>
      </c>
      <c r="G159" s="4" t="s">
        <v>28</v>
      </c>
      <c r="H159" s="4"/>
    </row>
    <row r="160" customFormat="false" ht="15" hidden="false" customHeight="true" outlineLevel="0" collapsed="false">
      <c r="A160" s="3" t="s">
        <v>442</v>
      </c>
      <c r="B160" s="4" t="s">
        <v>397</v>
      </c>
      <c r="C160" s="4" t="s">
        <v>443</v>
      </c>
      <c r="D160" s="8" t="s">
        <v>25</v>
      </c>
      <c r="E160" s="4" t="s">
        <v>401</v>
      </c>
      <c r="F160" s="6" t="s">
        <v>13</v>
      </c>
      <c r="G160" s="7" t="s">
        <v>14</v>
      </c>
      <c r="H160" s="4" t="s">
        <v>444</v>
      </c>
    </row>
    <row r="161" customFormat="false" ht="15" hidden="false" customHeight="true" outlineLevel="0" collapsed="false">
      <c r="A161" s="3" t="s">
        <v>445</v>
      </c>
      <c r="B161" s="4" t="s">
        <v>397</v>
      </c>
      <c r="C161" s="4" t="s">
        <v>446</v>
      </c>
      <c r="D161" s="8" t="s">
        <v>25</v>
      </c>
      <c r="E161" s="4" t="s">
        <v>427</v>
      </c>
      <c r="F161" s="4" t="s">
        <v>27</v>
      </c>
      <c r="G161" s="4" t="s">
        <v>28</v>
      </c>
      <c r="H161" s="4"/>
    </row>
    <row r="162" customFormat="false" ht="15" hidden="false" customHeight="true" outlineLevel="0" collapsed="false">
      <c r="A162" s="3" t="s">
        <v>447</v>
      </c>
      <c r="B162" s="4" t="s">
        <v>397</v>
      </c>
      <c r="C162" s="4" t="s">
        <v>448</v>
      </c>
      <c r="D162" s="8" t="s">
        <v>25</v>
      </c>
      <c r="E162" s="4" t="s">
        <v>222</v>
      </c>
      <c r="F162" s="4" t="s">
        <v>27</v>
      </c>
      <c r="G162" s="4" t="s">
        <v>28</v>
      </c>
      <c r="H162" s="4"/>
    </row>
    <row r="163" customFormat="false" ht="15" hidden="false" customHeight="true" outlineLevel="0" collapsed="false">
      <c r="A163" s="3" t="s">
        <v>449</v>
      </c>
      <c r="B163" s="4" t="s">
        <v>397</v>
      </c>
      <c r="C163" s="4" t="s">
        <v>450</v>
      </c>
      <c r="D163" s="8" t="s">
        <v>25</v>
      </c>
      <c r="E163" s="4" t="s">
        <v>401</v>
      </c>
      <c r="F163" s="4" t="s">
        <v>27</v>
      </c>
      <c r="G163" s="4" t="s">
        <v>28</v>
      </c>
      <c r="H163" s="4"/>
    </row>
    <row r="164" customFormat="false" ht="15" hidden="false" customHeight="true" outlineLevel="0" collapsed="false">
      <c r="A164" s="3" t="s">
        <v>451</v>
      </c>
      <c r="B164" s="4" t="s">
        <v>397</v>
      </c>
      <c r="C164" s="4" t="s">
        <v>452</v>
      </c>
      <c r="D164" s="8" t="s">
        <v>25</v>
      </c>
      <c r="E164" s="4" t="s">
        <v>401</v>
      </c>
      <c r="F164" s="6" t="s">
        <v>13</v>
      </c>
      <c r="G164" s="7" t="s">
        <v>14</v>
      </c>
      <c r="H164" s="4" t="s">
        <v>453</v>
      </c>
    </row>
    <row r="165" customFormat="false" ht="15" hidden="false" customHeight="true" outlineLevel="0" collapsed="false">
      <c r="A165" s="3" t="s">
        <v>454</v>
      </c>
      <c r="B165" s="4" t="s">
        <v>397</v>
      </c>
      <c r="C165" s="4" t="s">
        <v>455</v>
      </c>
      <c r="D165" s="8" t="s">
        <v>25</v>
      </c>
      <c r="E165" s="4" t="s">
        <v>401</v>
      </c>
      <c r="F165" s="4" t="s">
        <v>27</v>
      </c>
      <c r="G165" s="4" t="s">
        <v>28</v>
      </c>
      <c r="H165" s="4"/>
    </row>
    <row r="166" customFormat="false" ht="23.25" hidden="false" customHeight="true" outlineLevel="0" collapsed="false">
      <c r="A166" s="3" t="s">
        <v>456</v>
      </c>
      <c r="B166" s="4" t="s">
        <v>397</v>
      </c>
      <c r="C166" s="4" t="s">
        <v>457</v>
      </c>
      <c r="D166" s="9" t="s">
        <v>44</v>
      </c>
      <c r="E166" s="4" t="s">
        <v>260</v>
      </c>
      <c r="F166" s="11" t="s">
        <v>458</v>
      </c>
      <c r="G166" s="7" t="s">
        <v>14</v>
      </c>
      <c r="H166" s="4" t="s">
        <v>459</v>
      </c>
    </row>
    <row r="167" customFormat="false" ht="15" hidden="false" customHeight="true" outlineLevel="0" collapsed="false">
      <c r="A167" s="3" t="s">
        <v>460</v>
      </c>
      <c r="B167" s="4" t="s">
        <v>397</v>
      </c>
      <c r="C167" s="4" t="s">
        <v>461</v>
      </c>
      <c r="D167" s="9" t="s">
        <v>44</v>
      </c>
      <c r="E167" s="4" t="s">
        <v>401</v>
      </c>
      <c r="F167" s="4" t="s">
        <v>27</v>
      </c>
      <c r="G167" s="4" t="s">
        <v>28</v>
      </c>
      <c r="H167" s="4"/>
    </row>
    <row r="168" customFormat="false" ht="15" hidden="false" customHeight="true" outlineLevel="0" collapsed="false">
      <c r="A168" s="3" t="s">
        <v>462</v>
      </c>
      <c r="B168" s="4" t="s">
        <v>397</v>
      </c>
      <c r="C168" s="4" t="s">
        <v>463</v>
      </c>
      <c r="D168" s="9" t="s">
        <v>44</v>
      </c>
      <c r="E168" s="4" t="s">
        <v>260</v>
      </c>
      <c r="F168" s="4" t="s">
        <v>27</v>
      </c>
      <c r="G168" s="4" t="s">
        <v>28</v>
      </c>
      <c r="H168" s="4"/>
    </row>
    <row r="169" customFormat="false" ht="15" hidden="false" customHeight="true" outlineLevel="0" collapsed="false">
      <c r="A169" s="3" t="s">
        <v>464</v>
      </c>
      <c r="B169" s="4" t="s">
        <v>397</v>
      </c>
      <c r="C169" s="4" t="s">
        <v>465</v>
      </c>
      <c r="D169" s="9" t="s">
        <v>44</v>
      </c>
      <c r="E169" s="4" t="s">
        <v>401</v>
      </c>
      <c r="F169" s="4" t="s">
        <v>27</v>
      </c>
      <c r="G169" s="4" t="s">
        <v>28</v>
      </c>
      <c r="H169" s="4"/>
    </row>
    <row r="170" customFormat="false" ht="15" hidden="false" customHeight="true" outlineLevel="0" collapsed="false">
      <c r="A170" s="3" t="s">
        <v>466</v>
      </c>
      <c r="B170" s="4" t="s">
        <v>397</v>
      </c>
      <c r="C170" s="4" t="s">
        <v>467</v>
      </c>
      <c r="D170" s="9" t="s">
        <v>44</v>
      </c>
      <c r="E170" s="4" t="s">
        <v>401</v>
      </c>
      <c r="F170" s="4" t="s">
        <v>27</v>
      </c>
      <c r="G170" s="4" t="s">
        <v>28</v>
      </c>
      <c r="H170" s="4"/>
    </row>
    <row r="171" customFormat="false" ht="15" hidden="false" customHeight="true" outlineLevel="0" collapsed="false">
      <c r="A171" s="3" t="s">
        <v>468</v>
      </c>
      <c r="B171" s="4" t="s">
        <v>397</v>
      </c>
      <c r="C171" s="4" t="s">
        <v>469</v>
      </c>
      <c r="D171" s="9" t="s">
        <v>44</v>
      </c>
      <c r="E171" s="4" t="s">
        <v>401</v>
      </c>
      <c r="F171" s="6" t="s">
        <v>13</v>
      </c>
      <c r="G171" s="7" t="s">
        <v>14</v>
      </c>
      <c r="H171" s="4" t="s">
        <v>470</v>
      </c>
    </row>
    <row r="172" customFormat="false" ht="15" hidden="false" customHeight="true" outlineLevel="0" collapsed="false">
      <c r="A172" s="3" t="s">
        <v>471</v>
      </c>
      <c r="B172" s="4" t="s">
        <v>397</v>
      </c>
      <c r="C172" s="4" t="s">
        <v>472</v>
      </c>
      <c r="D172" s="9" t="s">
        <v>44</v>
      </c>
      <c r="E172" s="4" t="s">
        <v>260</v>
      </c>
      <c r="F172" s="4" t="s">
        <v>27</v>
      </c>
      <c r="G172" s="4" t="s">
        <v>28</v>
      </c>
      <c r="H172" s="4"/>
    </row>
    <row r="173" customFormat="false" ht="15" hidden="false" customHeight="true" outlineLevel="0" collapsed="false">
      <c r="A173" s="3" t="s">
        <v>473</v>
      </c>
      <c r="B173" s="4" t="s">
        <v>397</v>
      </c>
      <c r="C173" s="4" t="s">
        <v>474</v>
      </c>
      <c r="D173" s="9" t="s">
        <v>44</v>
      </c>
      <c r="E173" s="4" t="s">
        <v>260</v>
      </c>
      <c r="F173" s="4" t="s">
        <v>27</v>
      </c>
      <c r="G173" s="4" t="s">
        <v>28</v>
      </c>
      <c r="H173" s="4"/>
    </row>
    <row r="174" customFormat="false" ht="15" hidden="false" customHeight="true" outlineLevel="0" collapsed="false">
      <c r="A174" s="3" t="s">
        <v>475</v>
      </c>
      <c r="B174" s="4" t="s">
        <v>397</v>
      </c>
      <c r="C174" s="4" t="s">
        <v>476</v>
      </c>
      <c r="D174" s="9" t="s">
        <v>44</v>
      </c>
      <c r="E174" s="4" t="s">
        <v>401</v>
      </c>
      <c r="F174" s="4" t="s">
        <v>27</v>
      </c>
      <c r="G174" s="4" t="s">
        <v>28</v>
      </c>
      <c r="H174" s="4"/>
    </row>
    <row r="175" customFormat="false" ht="15" hidden="false" customHeight="true" outlineLevel="0" collapsed="false">
      <c r="A175" s="3" t="s">
        <v>477</v>
      </c>
      <c r="B175" s="4" t="s">
        <v>397</v>
      </c>
      <c r="C175" s="4" t="s">
        <v>478</v>
      </c>
      <c r="D175" s="9" t="s">
        <v>44</v>
      </c>
      <c r="E175" s="4" t="s">
        <v>401</v>
      </c>
      <c r="F175" s="4" t="s">
        <v>27</v>
      </c>
      <c r="G175" s="4" t="s">
        <v>28</v>
      </c>
      <c r="H175" s="4"/>
    </row>
    <row r="176" customFormat="false" ht="15" hidden="false" customHeight="true" outlineLevel="0" collapsed="false">
      <c r="A176" s="3" t="s">
        <v>479</v>
      </c>
      <c r="B176" s="4" t="s">
        <v>397</v>
      </c>
      <c r="C176" s="4" t="s">
        <v>480</v>
      </c>
      <c r="D176" s="13" t="s">
        <v>481</v>
      </c>
      <c r="E176" s="4" t="s">
        <v>222</v>
      </c>
      <c r="F176" s="4" t="s">
        <v>27</v>
      </c>
      <c r="G176" s="4" t="s">
        <v>28</v>
      </c>
      <c r="H176" s="4"/>
    </row>
    <row r="177" customFormat="false" ht="15" hidden="false" customHeight="true" outlineLevel="0" collapsed="false">
      <c r="A177" s="3" t="s">
        <v>482</v>
      </c>
      <c r="B177" s="4" t="s">
        <v>397</v>
      </c>
      <c r="C177" s="4" t="s">
        <v>483</v>
      </c>
      <c r="D177" s="9" t="s">
        <v>44</v>
      </c>
      <c r="E177" s="4" t="s">
        <v>484</v>
      </c>
      <c r="F177" s="6" t="s">
        <v>13</v>
      </c>
      <c r="G177" s="7" t="s">
        <v>14</v>
      </c>
      <c r="H177" s="4" t="s">
        <v>485</v>
      </c>
    </row>
    <row r="178" customFormat="false" ht="15" hidden="false" customHeight="true" outlineLevel="0" collapsed="false">
      <c r="A178" s="3" t="s">
        <v>486</v>
      </c>
      <c r="B178" s="4" t="s">
        <v>397</v>
      </c>
      <c r="C178" s="4" t="s">
        <v>487</v>
      </c>
      <c r="D178" s="13" t="s">
        <v>481</v>
      </c>
      <c r="E178" s="4" t="s">
        <v>401</v>
      </c>
      <c r="F178" s="4" t="s">
        <v>27</v>
      </c>
      <c r="G178" s="4" t="s">
        <v>28</v>
      </c>
      <c r="H178" s="4"/>
    </row>
    <row r="179" customFormat="false" ht="15" hidden="false" customHeight="true" outlineLevel="0" collapsed="false">
      <c r="A179" s="3" t="s">
        <v>488</v>
      </c>
      <c r="B179" s="4" t="s">
        <v>397</v>
      </c>
      <c r="C179" s="4" t="s">
        <v>489</v>
      </c>
      <c r="D179" s="9" t="s">
        <v>44</v>
      </c>
      <c r="E179" s="4" t="s">
        <v>401</v>
      </c>
      <c r="F179" s="4" t="s">
        <v>27</v>
      </c>
      <c r="G179" s="4" t="s">
        <v>28</v>
      </c>
      <c r="H179" s="4"/>
    </row>
    <row r="180" customFormat="false" ht="15" hidden="false" customHeight="true" outlineLevel="0" collapsed="false">
      <c r="A180" s="3" t="s">
        <v>490</v>
      </c>
      <c r="B180" s="4" t="s">
        <v>397</v>
      </c>
      <c r="C180" s="4" t="s">
        <v>491</v>
      </c>
      <c r="D180" s="14" t="s">
        <v>492</v>
      </c>
      <c r="E180" s="4" t="s">
        <v>493</v>
      </c>
      <c r="F180" s="4" t="s">
        <v>27</v>
      </c>
      <c r="G180" s="4" t="s">
        <v>28</v>
      </c>
      <c r="H180" s="4"/>
    </row>
    <row r="181" customFormat="false" ht="15" hidden="false" customHeight="true" outlineLevel="0" collapsed="false">
      <c r="A181" s="3" t="s">
        <v>494</v>
      </c>
      <c r="B181" s="4" t="s">
        <v>397</v>
      </c>
      <c r="C181" s="4" t="s">
        <v>495</v>
      </c>
      <c r="D181" s="14" t="s">
        <v>492</v>
      </c>
      <c r="E181" s="4" t="s">
        <v>401</v>
      </c>
      <c r="F181" s="4" t="s">
        <v>27</v>
      </c>
      <c r="G181" s="4" t="s">
        <v>28</v>
      </c>
      <c r="H181" s="4"/>
    </row>
    <row r="182" customFormat="false" ht="15" hidden="false" customHeight="true" outlineLevel="0" collapsed="false">
      <c r="A182" s="3" t="s">
        <v>496</v>
      </c>
      <c r="B182" s="4" t="s">
        <v>397</v>
      </c>
      <c r="C182" s="4" t="s">
        <v>497</v>
      </c>
      <c r="D182" s="14" t="s">
        <v>492</v>
      </c>
      <c r="E182" s="4" t="s">
        <v>401</v>
      </c>
      <c r="F182" s="4" t="s">
        <v>27</v>
      </c>
      <c r="G182" s="4" t="s">
        <v>28</v>
      </c>
      <c r="H182" s="4"/>
    </row>
    <row r="183" customFormat="false" ht="15" hidden="false" customHeight="true" outlineLevel="0" collapsed="false">
      <c r="A183" s="3" t="s">
        <v>498</v>
      </c>
      <c r="B183" s="4" t="s">
        <v>397</v>
      </c>
      <c r="C183" s="4" t="s">
        <v>499</v>
      </c>
      <c r="D183" s="10" t="s">
        <v>69</v>
      </c>
      <c r="E183" s="4" t="s">
        <v>401</v>
      </c>
      <c r="F183" s="4" t="s">
        <v>27</v>
      </c>
      <c r="G183" s="4" t="s">
        <v>28</v>
      </c>
      <c r="H183" s="4"/>
    </row>
    <row r="184" customFormat="false" ht="15" hidden="false" customHeight="true" outlineLevel="0" collapsed="false">
      <c r="A184" s="3" t="s">
        <v>500</v>
      </c>
      <c r="B184" s="4" t="s">
        <v>397</v>
      </c>
      <c r="C184" s="4" t="s">
        <v>501</v>
      </c>
      <c r="D184" s="10" t="s">
        <v>69</v>
      </c>
      <c r="E184" s="4" t="s">
        <v>401</v>
      </c>
      <c r="F184" s="4" t="s">
        <v>27</v>
      </c>
      <c r="G184" s="4" t="s">
        <v>28</v>
      </c>
      <c r="H184" s="4"/>
    </row>
    <row r="185" customFormat="false" ht="23.25" hidden="false" customHeight="true" outlineLevel="0" collapsed="false">
      <c r="A185" s="3" t="s">
        <v>502</v>
      </c>
      <c r="B185" s="4" t="s">
        <v>397</v>
      </c>
      <c r="C185" s="4" t="s">
        <v>503</v>
      </c>
      <c r="D185" s="10" t="s">
        <v>69</v>
      </c>
      <c r="E185" s="4" t="s">
        <v>349</v>
      </c>
      <c r="F185" s="12" t="s">
        <v>350</v>
      </c>
      <c r="G185" s="4" t="s">
        <v>28</v>
      </c>
      <c r="H185" s="4"/>
    </row>
    <row r="186" customFormat="false" ht="23.25" hidden="false" customHeight="true" outlineLevel="0" collapsed="false">
      <c r="A186" s="3" t="s">
        <v>504</v>
      </c>
      <c r="B186" s="4" t="s">
        <v>397</v>
      </c>
      <c r="C186" s="4" t="s">
        <v>505</v>
      </c>
      <c r="D186" s="10" t="s">
        <v>69</v>
      </c>
      <c r="E186" s="4" t="s">
        <v>349</v>
      </c>
      <c r="F186" s="12" t="s">
        <v>350</v>
      </c>
      <c r="G186" s="4" t="s">
        <v>28</v>
      </c>
      <c r="H186" s="4"/>
    </row>
    <row r="187" customFormat="false" ht="15" hidden="false" customHeight="true" outlineLevel="0" collapsed="false">
      <c r="A187" s="3" t="s">
        <v>506</v>
      </c>
      <c r="B187" s="4" t="s">
        <v>507</v>
      </c>
      <c r="C187" s="4" t="s">
        <v>508</v>
      </c>
      <c r="D187" s="5" t="s">
        <v>11</v>
      </c>
      <c r="E187" s="4" t="s">
        <v>54</v>
      </c>
      <c r="F187" s="4" t="s">
        <v>27</v>
      </c>
      <c r="G187" s="4" t="s">
        <v>28</v>
      </c>
      <c r="H187" s="4"/>
    </row>
    <row r="188" customFormat="false" ht="23.25" hidden="false" customHeight="true" outlineLevel="0" collapsed="false">
      <c r="A188" s="3" t="s">
        <v>509</v>
      </c>
      <c r="B188" s="4" t="s">
        <v>507</v>
      </c>
      <c r="C188" s="4" t="s">
        <v>510</v>
      </c>
      <c r="D188" s="5" t="s">
        <v>11</v>
      </c>
      <c r="E188" s="4" t="s">
        <v>54</v>
      </c>
      <c r="F188" s="4" t="s">
        <v>27</v>
      </c>
      <c r="G188" s="7" t="s">
        <v>14</v>
      </c>
      <c r="H188" s="4" t="s">
        <v>511</v>
      </c>
    </row>
    <row r="189" customFormat="false" ht="15" hidden="false" customHeight="true" outlineLevel="0" collapsed="false">
      <c r="A189" s="3" t="s">
        <v>512</v>
      </c>
      <c r="B189" s="4" t="s">
        <v>507</v>
      </c>
      <c r="C189" s="4" t="s">
        <v>513</v>
      </c>
      <c r="D189" s="5" t="s">
        <v>11</v>
      </c>
      <c r="E189" s="4" t="s">
        <v>514</v>
      </c>
      <c r="F189" s="11" t="s">
        <v>137</v>
      </c>
      <c r="G189" s="7" t="s">
        <v>14</v>
      </c>
      <c r="H189" s="4" t="s">
        <v>515</v>
      </c>
    </row>
    <row r="190" customFormat="false" ht="15" hidden="false" customHeight="true" outlineLevel="0" collapsed="false">
      <c r="A190" s="3" t="s">
        <v>516</v>
      </c>
      <c r="B190" s="4" t="s">
        <v>507</v>
      </c>
      <c r="C190" s="4" t="s">
        <v>517</v>
      </c>
      <c r="D190" s="5" t="s">
        <v>11</v>
      </c>
      <c r="E190" s="4" t="s">
        <v>518</v>
      </c>
      <c r="F190" s="4" t="s">
        <v>27</v>
      </c>
      <c r="G190" s="4" t="s">
        <v>28</v>
      </c>
      <c r="H190" s="4"/>
    </row>
    <row r="191" customFormat="false" ht="15" hidden="false" customHeight="true" outlineLevel="0" collapsed="false">
      <c r="A191" s="3" t="s">
        <v>519</v>
      </c>
      <c r="B191" s="4" t="s">
        <v>507</v>
      </c>
      <c r="C191" s="4" t="s">
        <v>520</v>
      </c>
      <c r="D191" s="5" t="s">
        <v>11</v>
      </c>
      <c r="E191" s="4" t="s">
        <v>54</v>
      </c>
      <c r="F191" s="4" t="s">
        <v>27</v>
      </c>
      <c r="G191" s="4" t="s">
        <v>28</v>
      </c>
      <c r="H191" s="4"/>
    </row>
    <row r="192" customFormat="false" ht="23.25" hidden="false" customHeight="true" outlineLevel="0" collapsed="false">
      <c r="A192" s="3" t="s">
        <v>521</v>
      </c>
      <c r="B192" s="4" t="s">
        <v>507</v>
      </c>
      <c r="C192" s="4" t="s">
        <v>522</v>
      </c>
      <c r="D192" s="8" t="s">
        <v>25</v>
      </c>
      <c r="E192" s="4" t="s">
        <v>514</v>
      </c>
      <c r="F192" s="6" t="s">
        <v>523</v>
      </c>
      <c r="G192" s="7" t="s">
        <v>14</v>
      </c>
      <c r="H192" s="4" t="s">
        <v>524</v>
      </c>
    </row>
    <row r="193" customFormat="false" ht="15" hidden="false" customHeight="true" outlineLevel="0" collapsed="false">
      <c r="A193" s="3" t="s">
        <v>525</v>
      </c>
      <c r="B193" s="4" t="s">
        <v>507</v>
      </c>
      <c r="C193" s="4" t="s">
        <v>526</v>
      </c>
      <c r="D193" s="8" t="s">
        <v>25</v>
      </c>
      <c r="E193" s="4" t="s">
        <v>514</v>
      </c>
      <c r="F193" s="4" t="s">
        <v>27</v>
      </c>
      <c r="G193" s="4" t="s">
        <v>28</v>
      </c>
      <c r="H193" s="4"/>
    </row>
    <row r="194" customFormat="false" ht="15" hidden="false" customHeight="true" outlineLevel="0" collapsed="false">
      <c r="A194" s="3" t="s">
        <v>527</v>
      </c>
      <c r="B194" s="4" t="s">
        <v>507</v>
      </c>
      <c r="C194" s="4" t="s">
        <v>528</v>
      </c>
      <c r="D194" s="8" t="s">
        <v>25</v>
      </c>
      <c r="E194" s="4" t="s">
        <v>54</v>
      </c>
      <c r="F194" s="4" t="s">
        <v>27</v>
      </c>
      <c r="G194" s="4" t="s">
        <v>28</v>
      </c>
      <c r="H194" s="4"/>
    </row>
    <row r="195" customFormat="false" ht="15" hidden="false" customHeight="true" outlineLevel="0" collapsed="false">
      <c r="A195" s="3" t="s">
        <v>529</v>
      </c>
      <c r="B195" s="4" t="s">
        <v>507</v>
      </c>
      <c r="C195" s="4" t="s">
        <v>530</v>
      </c>
      <c r="D195" s="8" t="s">
        <v>25</v>
      </c>
      <c r="E195" s="4" t="s">
        <v>514</v>
      </c>
      <c r="F195" s="4" t="s">
        <v>27</v>
      </c>
      <c r="G195" s="4" t="s">
        <v>28</v>
      </c>
      <c r="H195" s="4"/>
    </row>
    <row r="196" customFormat="false" ht="15" hidden="false" customHeight="true" outlineLevel="0" collapsed="false">
      <c r="A196" s="3" t="s">
        <v>531</v>
      </c>
      <c r="B196" s="4" t="s">
        <v>507</v>
      </c>
      <c r="C196" s="4" t="s">
        <v>532</v>
      </c>
      <c r="D196" s="8" t="s">
        <v>25</v>
      </c>
      <c r="E196" s="4" t="s">
        <v>128</v>
      </c>
      <c r="F196" s="4" t="s">
        <v>27</v>
      </c>
      <c r="G196" s="4" t="s">
        <v>28</v>
      </c>
      <c r="H196" s="4"/>
    </row>
    <row r="197" customFormat="false" ht="15" hidden="false" customHeight="true" outlineLevel="0" collapsed="false">
      <c r="A197" s="3" t="s">
        <v>533</v>
      </c>
      <c r="B197" s="4" t="s">
        <v>507</v>
      </c>
      <c r="C197" s="4" t="s">
        <v>534</v>
      </c>
      <c r="D197" s="8" t="s">
        <v>25</v>
      </c>
      <c r="E197" s="4" t="s">
        <v>514</v>
      </c>
      <c r="F197" s="4" t="s">
        <v>27</v>
      </c>
      <c r="G197" s="4" t="s">
        <v>28</v>
      </c>
      <c r="H197" s="4"/>
    </row>
    <row r="198" customFormat="false" ht="15" hidden="false" customHeight="true" outlineLevel="0" collapsed="false">
      <c r="A198" s="3" t="s">
        <v>535</v>
      </c>
      <c r="B198" s="4" t="s">
        <v>507</v>
      </c>
      <c r="C198" s="4" t="s">
        <v>536</v>
      </c>
      <c r="D198" s="8" t="s">
        <v>25</v>
      </c>
      <c r="E198" s="4" t="s">
        <v>26</v>
      </c>
      <c r="F198" s="4" t="s">
        <v>27</v>
      </c>
      <c r="G198" s="4" t="s">
        <v>28</v>
      </c>
      <c r="H198" s="4"/>
    </row>
    <row r="199" customFormat="false" ht="23.25" hidden="false" customHeight="true" outlineLevel="0" collapsed="false">
      <c r="A199" s="3" t="s">
        <v>537</v>
      </c>
      <c r="B199" s="4" t="s">
        <v>507</v>
      </c>
      <c r="C199" s="4" t="s">
        <v>538</v>
      </c>
      <c r="D199" s="9" t="s">
        <v>44</v>
      </c>
      <c r="E199" s="4" t="s">
        <v>26</v>
      </c>
      <c r="F199" s="11" t="s">
        <v>137</v>
      </c>
      <c r="G199" s="7" t="s">
        <v>14</v>
      </c>
      <c r="H199" s="4" t="s">
        <v>539</v>
      </c>
    </row>
    <row r="200" customFormat="false" ht="15" hidden="false" customHeight="true" outlineLevel="0" collapsed="false">
      <c r="A200" s="3" t="s">
        <v>540</v>
      </c>
      <c r="B200" s="4" t="s">
        <v>507</v>
      </c>
      <c r="C200" s="4" t="s">
        <v>541</v>
      </c>
      <c r="D200" s="9" t="s">
        <v>44</v>
      </c>
      <c r="E200" s="4" t="s">
        <v>514</v>
      </c>
      <c r="F200" s="4" t="s">
        <v>27</v>
      </c>
      <c r="G200" s="4" t="s">
        <v>28</v>
      </c>
      <c r="H200" s="4"/>
    </row>
    <row r="201" customFormat="false" ht="15" hidden="false" customHeight="true" outlineLevel="0" collapsed="false">
      <c r="A201" s="3" t="s">
        <v>542</v>
      </c>
      <c r="B201" s="4" t="s">
        <v>507</v>
      </c>
      <c r="C201" s="4" t="s">
        <v>543</v>
      </c>
      <c r="D201" s="9" t="s">
        <v>44</v>
      </c>
      <c r="E201" s="4" t="s">
        <v>514</v>
      </c>
      <c r="F201" s="4" t="s">
        <v>27</v>
      </c>
      <c r="G201" s="4" t="s">
        <v>28</v>
      </c>
      <c r="H201" s="4"/>
    </row>
    <row r="202" customFormat="false" ht="15" hidden="false" customHeight="true" outlineLevel="0" collapsed="false">
      <c r="A202" s="3" t="s">
        <v>544</v>
      </c>
      <c r="B202" s="4" t="s">
        <v>507</v>
      </c>
      <c r="C202" s="4" t="s">
        <v>545</v>
      </c>
      <c r="D202" s="9" t="s">
        <v>44</v>
      </c>
      <c r="E202" s="4" t="s">
        <v>514</v>
      </c>
      <c r="F202" s="4" t="s">
        <v>27</v>
      </c>
      <c r="G202" s="4" t="s">
        <v>28</v>
      </c>
      <c r="H202" s="4"/>
    </row>
    <row r="203" customFormat="false" ht="15" hidden="false" customHeight="true" outlineLevel="0" collapsed="false">
      <c r="A203" s="3" t="s">
        <v>546</v>
      </c>
      <c r="B203" s="4" t="s">
        <v>507</v>
      </c>
      <c r="C203" s="4" t="s">
        <v>547</v>
      </c>
      <c r="D203" s="9" t="s">
        <v>44</v>
      </c>
      <c r="E203" s="4" t="s">
        <v>26</v>
      </c>
      <c r="F203" s="4" t="s">
        <v>27</v>
      </c>
      <c r="G203" s="4" t="s">
        <v>28</v>
      </c>
      <c r="H203" s="4"/>
    </row>
    <row r="204" customFormat="false" ht="15" hidden="false" customHeight="true" outlineLevel="0" collapsed="false">
      <c r="A204" s="3" t="s">
        <v>548</v>
      </c>
      <c r="B204" s="4" t="s">
        <v>507</v>
      </c>
      <c r="C204" s="4" t="s">
        <v>549</v>
      </c>
      <c r="D204" s="9" t="s">
        <v>44</v>
      </c>
      <c r="E204" s="4" t="s">
        <v>514</v>
      </c>
      <c r="F204" s="4" t="s">
        <v>27</v>
      </c>
      <c r="G204" s="4" t="s">
        <v>28</v>
      </c>
      <c r="H204" s="4"/>
    </row>
    <row r="205" customFormat="false" ht="15" hidden="false" customHeight="true" outlineLevel="0" collapsed="false">
      <c r="A205" s="3" t="s">
        <v>550</v>
      </c>
      <c r="B205" s="4" t="s">
        <v>507</v>
      </c>
      <c r="C205" s="4" t="s">
        <v>551</v>
      </c>
      <c r="D205" s="9" t="s">
        <v>44</v>
      </c>
      <c r="E205" s="4" t="s">
        <v>128</v>
      </c>
      <c r="F205" s="4" t="s">
        <v>27</v>
      </c>
      <c r="G205" s="4" t="s">
        <v>28</v>
      </c>
      <c r="H205" s="4"/>
    </row>
    <row r="206" customFormat="false" ht="15" hidden="false" customHeight="true" outlineLevel="0" collapsed="false">
      <c r="A206" s="3" t="s">
        <v>552</v>
      </c>
      <c r="B206" s="4" t="s">
        <v>507</v>
      </c>
      <c r="C206" s="4" t="s">
        <v>553</v>
      </c>
      <c r="D206" s="9" t="s">
        <v>44</v>
      </c>
      <c r="E206" s="4" t="s">
        <v>554</v>
      </c>
      <c r="F206" s="4" t="s">
        <v>27</v>
      </c>
      <c r="G206" s="4" t="s">
        <v>28</v>
      </c>
      <c r="H206" s="4"/>
    </row>
    <row r="207" customFormat="false" ht="34.5" hidden="false" customHeight="true" outlineLevel="0" collapsed="false">
      <c r="A207" s="3" t="s">
        <v>555</v>
      </c>
      <c r="B207" s="4" t="s">
        <v>397</v>
      </c>
      <c r="C207" s="4" t="s">
        <v>556</v>
      </c>
      <c r="D207" s="5" t="s">
        <v>11</v>
      </c>
      <c r="E207" s="4" t="s">
        <v>557</v>
      </c>
      <c r="F207" s="6" t="s">
        <v>13</v>
      </c>
      <c r="G207" s="7" t="s">
        <v>14</v>
      </c>
      <c r="H207" s="4" t="s">
        <v>558</v>
      </c>
    </row>
    <row r="208" customFormat="false" ht="23.25" hidden="false" customHeight="true" outlineLevel="0" collapsed="false">
      <c r="A208" s="3" t="s">
        <v>559</v>
      </c>
      <c r="B208" s="4" t="s">
        <v>397</v>
      </c>
      <c r="C208" s="4" t="s">
        <v>560</v>
      </c>
      <c r="D208" s="5" t="s">
        <v>11</v>
      </c>
      <c r="E208" s="4" t="s">
        <v>561</v>
      </c>
      <c r="F208" s="6" t="s">
        <v>13</v>
      </c>
      <c r="G208" s="7" t="s">
        <v>14</v>
      </c>
      <c r="H208" s="4" t="s">
        <v>562</v>
      </c>
    </row>
    <row r="209" customFormat="false" ht="34.5" hidden="false" customHeight="true" outlineLevel="0" collapsed="false">
      <c r="A209" s="3" t="s">
        <v>563</v>
      </c>
      <c r="B209" s="4" t="s">
        <v>397</v>
      </c>
      <c r="C209" s="4" t="s">
        <v>564</v>
      </c>
      <c r="D209" s="5" t="s">
        <v>11</v>
      </c>
      <c r="E209" s="4" t="s">
        <v>61</v>
      </c>
      <c r="F209" s="6" t="s">
        <v>13</v>
      </c>
      <c r="G209" s="7" t="s">
        <v>14</v>
      </c>
      <c r="H209" s="4" t="s">
        <v>565</v>
      </c>
    </row>
    <row r="210" customFormat="false" ht="34.5" hidden="false" customHeight="true" outlineLevel="0" collapsed="false">
      <c r="A210" s="3" t="s">
        <v>566</v>
      </c>
      <c r="B210" s="4" t="s">
        <v>87</v>
      </c>
      <c r="C210" s="4" t="s">
        <v>567</v>
      </c>
      <c r="D210" s="8" t="s">
        <v>25</v>
      </c>
      <c r="E210" s="4" t="s">
        <v>26</v>
      </c>
      <c r="F210" s="4" t="s">
        <v>27</v>
      </c>
      <c r="G210" s="7" t="s">
        <v>14</v>
      </c>
      <c r="H210" s="4" t="s">
        <v>568</v>
      </c>
    </row>
    <row r="211" customFormat="false" ht="34.5" hidden="false" customHeight="true" outlineLevel="0" collapsed="false">
      <c r="A211" s="3" t="s">
        <v>569</v>
      </c>
      <c r="B211" s="4" t="s">
        <v>87</v>
      </c>
      <c r="C211" s="4" t="s">
        <v>570</v>
      </c>
      <c r="D211" s="5" t="s">
        <v>11</v>
      </c>
      <c r="E211" s="4" t="s">
        <v>571</v>
      </c>
      <c r="F211" s="4" t="s">
        <v>27</v>
      </c>
      <c r="G211" s="7" t="s">
        <v>14</v>
      </c>
      <c r="H211" s="4" t="s">
        <v>572</v>
      </c>
    </row>
    <row r="212" customFormat="false" ht="23.25" hidden="false" customHeight="true" outlineLevel="0" collapsed="false">
      <c r="A212" s="3" t="s">
        <v>573</v>
      </c>
      <c r="B212" s="4" t="s">
        <v>187</v>
      </c>
      <c r="C212" s="4" t="s">
        <v>574</v>
      </c>
      <c r="D212" s="10" t="s">
        <v>69</v>
      </c>
      <c r="E212" s="4" t="s">
        <v>61</v>
      </c>
      <c r="F212" s="6" t="s">
        <v>13</v>
      </c>
      <c r="G212" s="7" t="s">
        <v>14</v>
      </c>
      <c r="H212" s="4" t="s">
        <v>575</v>
      </c>
    </row>
  </sheetData>
  <autoFilter ref="A1:H212"/>
  <dataValidations count="1">
    <dataValidation allowBlank="true" errorStyle="stop" operator="between" showDropDown="false" showErrorMessage="false" showInputMessage="false" sqref="F2:F206" type="list">
      <formula1>"Open,In progress,Partially fixed,Largely fixed,Fixed,Closed,Won't fix,Deferred"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6"/>
    <col collapsed="false" customWidth="true" hidden="false" outlineLevel="0" max="8" min="2" style="1" width="13"/>
  </cols>
  <sheetData>
    <row r="1" customFormat="false" ht="17.25" hidden="false" customHeight="true" outlineLevel="0" collapsed="false">
      <c r="A1" s="15" t="s">
        <v>576</v>
      </c>
      <c r="B1" s="16"/>
      <c r="C1" s="16"/>
      <c r="D1" s="16"/>
      <c r="E1" s="16"/>
      <c r="F1" s="16"/>
      <c r="G1" s="16"/>
      <c r="H1" s="16"/>
    </row>
    <row r="2" customFormat="false" ht="15" hidden="false" customHeight="true" outlineLevel="0" collapsed="false">
      <c r="A2" s="17" t="s">
        <v>577</v>
      </c>
      <c r="B2" s="16"/>
      <c r="C2" s="16"/>
      <c r="D2" s="16"/>
      <c r="E2" s="16"/>
      <c r="F2" s="16"/>
      <c r="G2" s="16"/>
      <c r="H2" s="16"/>
    </row>
    <row r="3" customFormat="false" ht="15" hidden="false" customHeight="true" outlineLevel="0" collapsed="false">
      <c r="A3" s="18"/>
      <c r="B3" s="16"/>
      <c r="C3" s="16"/>
      <c r="D3" s="16"/>
      <c r="E3" s="16"/>
      <c r="F3" s="16"/>
      <c r="G3" s="16"/>
      <c r="H3" s="16"/>
    </row>
    <row r="4" customFormat="false" ht="15" hidden="false" customHeight="true" outlineLevel="0" collapsed="false">
      <c r="A4" s="19" t="s">
        <v>1</v>
      </c>
      <c r="B4" s="20" t="s">
        <v>11</v>
      </c>
      <c r="C4" s="20" t="s">
        <v>25</v>
      </c>
      <c r="D4" s="20" t="s">
        <v>481</v>
      </c>
      <c r="E4" s="20" t="s">
        <v>44</v>
      </c>
      <c r="F4" s="20" t="s">
        <v>492</v>
      </c>
      <c r="G4" s="20" t="s">
        <v>69</v>
      </c>
      <c r="H4" s="20" t="s">
        <v>578</v>
      </c>
    </row>
    <row r="5" customFormat="false" ht="15" hidden="false" customHeight="true" outlineLevel="0" collapsed="false">
      <c r="A5" s="21" t="s">
        <v>9</v>
      </c>
      <c r="B5" s="22" t="n">
        <f aca="false">COUNTIFS(Register!$B$2:$B$206,$A5,Register!$D$2:$D$206,B$4)</f>
        <v>3</v>
      </c>
      <c r="C5" s="22" t="n">
        <f aca="false">COUNTIFS(Register!$B$2:$B$206,$A5,Register!$D$2:$D$206,C$4)</f>
        <v>6</v>
      </c>
      <c r="D5" s="22" t="n">
        <f aca="false">COUNTIFS(Register!$B$2:$B$206,$A5,Register!$D$2:$D$206,D$4)</f>
        <v>0</v>
      </c>
      <c r="E5" s="22" t="n">
        <f aca="false">COUNTIFS(Register!$B$2:$B$206,$A5,Register!$D$2:$D$206,E$4)</f>
        <v>9</v>
      </c>
      <c r="F5" s="22" t="n">
        <f aca="false">COUNTIFS(Register!$B$2:$B$206,$A5,Register!$D$2:$D$206,F$4)</f>
        <v>0</v>
      </c>
      <c r="G5" s="22" t="n">
        <f aca="false">COUNTIFS(Register!$B$2:$B$206,$A5,Register!$D$2:$D$206,G$4)</f>
        <v>6</v>
      </c>
      <c r="H5" s="22" t="n">
        <f aca="false">SUM(B5:G5)</f>
        <v>24</v>
      </c>
    </row>
    <row r="6" customFormat="false" ht="15" hidden="false" customHeight="true" outlineLevel="0" collapsed="false">
      <c r="A6" s="21" t="s">
        <v>87</v>
      </c>
      <c r="B6" s="22" t="n">
        <f aca="false">COUNTIFS(Register!$B$2:$B$206,$A6,Register!$D$2:$D$206,B$4)</f>
        <v>6</v>
      </c>
      <c r="C6" s="22" t="n">
        <f aca="false">COUNTIFS(Register!$B$2:$B$206,$A6,Register!$D$2:$D$206,C$4)</f>
        <v>16</v>
      </c>
      <c r="D6" s="22" t="n">
        <f aca="false">COUNTIFS(Register!$B$2:$B$206,$A6,Register!$D$2:$D$206,D$4)</f>
        <v>0</v>
      </c>
      <c r="E6" s="22" t="n">
        <f aca="false">COUNTIFS(Register!$B$2:$B$206,$A6,Register!$D$2:$D$206,E$4)</f>
        <v>10</v>
      </c>
      <c r="F6" s="22" t="n">
        <f aca="false">COUNTIFS(Register!$B$2:$B$206,$A6,Register!$D$2:$D$206,F$4)</f>
        <v>0</v>
      </c>
      <c r="G6" s="22" t="n">
        <f aca="false">COUNTIFS(Register!$B$2:$B$206,$A6,Register!$D$2:$D$206,G$4)</f>
        <v>1</v>
      </c>
      <c r="H6" s="22" t="n">
        <f aca="false">SUM(B6:G6)</f>
        <v>33</v>
      </c>
    </row>
    <row r="7" customFormat="false" ht="15" hidden="false" customHeight="true" outlineLevel="0" collapsed="false">
      <c r="A7" s="21" t="s">
        <v>187</v>
      </c>
      <c r="B7" s="22" t="n">
        <f aca="false">COUNTIFS(Register!$B$2:$B$206,$A7,Register!$D$2:$D$206,B$4)</f>
        <v>13</v>
      </c>
      <c r="C7" s="22" t="n">
        <f aca="false">COUNTIFS(Register!$B$2:$B$206,$A7,Register!$D$2:$D$206,C$4)</f>
        <v>12</v>
      </c>
      <c r="D7" s="22" t="n">
        <f aca="false">COUNTIFS(Register!$B$2:$B$206,$A7,Register!$D$2:$D$206,D$4)</f>
        <v>0</v>
      </c>
      <c r="E7" s="22" t="n">
        <f aca="false">COUNTIFS(Register!$B$2:$B$206,$A7,Register!$D$2:$D$206,E$4)</f>
        <v>6</v>
      </c>
      <c r="F7" s="22" t="n">
        <f aca="false">COUNTIFS(Register!$B$2:$B$206,$A7,Register!$D$2:$D$206,F$4)</f>
        <v>0</v>
      </c>
      <c r="G7" s="22" t="n">
        <f aca="false">COUNTIFS(Register!$B$2:$B$206,$A7,Register!$D$2:$D$206,G$4)</f>
        <v>0</v>
      </c>
      <c r="H7" s="22" t="n">
        <f aca="false">SUM(B7:G7)</f>
        <v>31</v>
      </c>
    </row>
    <row r="8" customFormat="false" ht="15" hidden="false" customHeight="true" outlineLevel="0" collapsed="false">
      <c r="A8" s="21" t="s">
        <v>279</v>
      </c>
      <c r="B8" s="22" t="n">
        <f aca="false">COUNTIFS(Register!$B$2:$B$206,$A8,Register!$D$2:$D$206,B$4)</f>
        <v>5</v>
      </c>
      <c r="C8" s="22" t="n">
        <f aca="false">COUNTIFS(Register!$B$2:$B$206,$A8,Register!$D$2:$D$206,C$4)</f>
        <v>8</v>
      </c>
      <c r="D8" s="22" t="n">
        <f aca="false">COUNTIFS(Register!$B$2:$B$206,$A8,Register!$D$2:$D$206,D$4)</f>
        <v>0</v>
      </c>
      <c r="E8" s="22" t="n">
        <f aca="false">COUNTIFS(Register!$B$2:$B$206,$A8,Register!$D$2:$D$206,E$4)</f>
        <v>13</v>
      </c>
      <c r="F8" s="22" t="n">
        <f aca="false">COUNTIFS(Register!$B$2:$B$206,$A8,Register!$D$2:$D$206,F$4)</f>
        <v>0</v>
      </c>
      <c r="G8" s="22" t="n">
        <f aca="false">COUNTIFS(Register!$B$2:$B$206,$A8,Register!$D$2:$D$206,G$4)</f>
        <v>4</v>
      </c>
      <c r="H8" s="22" t="n">
        <f aca="false">SUM(B8:G8)</f>
        <v>30</v>
      </c>
    </row>
    <row r="9" customFormat="false" ht="15" hidden="false" customHeight="true" outlineLevel="0" collapsed="false">
      <c r="A9" s="21" t="s">
        <v>352</v>
      </c>
      <c r="B9" s="22" t="n">
        <f aca="false">COUNTIFS(Register!$B$2:$B$206,$A9,Register!$D$2:$D$206,B$4)</f>
        <v>3</v>
      </c>
      <c r="C9" s="22" t="n">
        <f aca="false">COUNTIFS(Register!$B$2:$B$206,$A9,Register!$D$2:$D$206,C$4)</f>
        <v>9</v>
      </c>
      <c r="D9" s="22" t="n">
        <f aca="false">COUNTIFS(Register!$B$2:$B$206,$A9,Register!$D$2:$D$206,D$4)</f>
        <v>0</v>
      </c>
      <c r="E9" s="22" t="n">
        <f aca="false">COUNTIFS(Register!$B$2:$B$206,$A9,Register!$D$2:$D$206,E$4)</f>
        <v>6</v>
      </c>
      <c r="F9" s="22" t="n">
        <f aca="false">COUNTIFS(Register!$B$2:$B$206,$A9,Register!$D$2:$D$206,F$4)</f>
        <v>0</v>
      </c>
      <c r="G9" s="22" t="n">
        <f aca="false">COUNTIFS(Register!$B$2:$B$206,$A9,Register!$D$2:$D$206,G$4)</f>
        <v>2</v>
      </c>
      <c r="H9" s="22" t="n">
        <f aca="false">SUM(B9:G9)</f>
        <v>20</v>
      </c>
    </row>
    <row r="10" customFormat="false" ht="15" hidden="false" customHeight="true" outlineLevel="0" collapsed="false">
      <c r="A10" s="21" t="s">
        <v>397</v>
      </c>
      <c r="B10" s="22" t="n">
        <f aca="false">COUNTIFS(Register!$B$2:$B$206,$A10,Register!$D$2:$D$206,B$4)</f>
        <v>7</v>
      </c>
      <c r="C10" s="22" t="n">
        <f aca="false">COUNTIFS(Register!$B$2:$B$206,$A10,Register!$D$2:$D$206,C$4)</f>
        <v>19</v>
      </c>
      <c r="D10" s="22" t="n">
        <f aca="false">COUNTIFS(Register!$B$2:$B$206,$A10,Register!$D$2:$D$206,D$4)</f>
        <v>2</v>
      </c>
      <c r="E10" s="22" t="n">
        <f aca="false">COUNTIFS(Register!$B$2:$B$206,$A10,Register!$D$2:$D$206,E$4)</f>
        <v>12</v>
      </c>
      <c r="F10" s="22" t="n">
        <f aca="false">COUNTIFS(Register!$B$2:$B$206,$A10,Register!$D$2:$D$206,F$4)</f>
        <v>3</v>
      </c>
      <c r="G10" s="22" t="n">
        <f aca="false">COUNTIFS(Register!$B$2:$B$206,$A10,Register!$D$2:$D$206,G$4)</f>
        <v>4</v>
      </c>
      <c r="H10" s="22" t="n">
        <f aca="false">SUM(B10:G10)</f>
        <v>47</v>
      </c>
    </row>
    <row r="11" customFormat="false" ht="15" hidden="false" customHeight="true" outlineLevel="0" collapsed="false">
      <c r="A11" s="21" t="s">
        <v>507</v>
      </c>
      <c r="B11" s="22" t="n">
        <f aca="false">COUNTIFS(Register!$B$2:$B$206,$A11,Register!$D$2:$D$206,B$4)</f>
        <v>5</v>
      </c>
      <c r="C11" s="22" t="n">
        <f aca="false">COUNTIFS(Register!$B$2:$B$206,$A11,Register!$D$2:$D$206,C$4)</f>
        <v>7</v>
      </c>
      <c r="D11" s="22" t="n">
        <f aca="false">COUNTIFS(Register!$B$2:$B$206,$A11,Register!$D$2:$D$206,D$4)</f>
        <v>0</v>
      </c>
      <c r="E11" s="22" t="n">
        <f aca="false">COUNTIFS(Register!$B$2:$B$206,$A11,Register!$D$2:$D$206,E$4)</f>
        <v>8</v>
      </c>
      <c r="F11" s="22" t="n">
        <f aca="false">COUNTIFS(Register!$B$2:$B$206,$A11,Register!$D$2:$D$206,F$4)</f>
        <v>0</v>
      </c>
      <c r="G11" s="22" t="n">
        <f aca="false">COUNTIFS(Register!$B$2:$B$206,$A11,Register!$D$2:$D$206,G$4)</f>
        <v>0</v>
      </c>
      <c r="H11" s="22" t="n">
        <f aca="false">SUM(B11:G11)</f>
        <v>20</v>
      </c>
    </row>
    <row r="12" customFormat="false" ht="15" hidden="false" customHeight="true" outlineLevel="0" collapsed="false">
      <c r="A12" s="21" t="s">
        <v>578</v>
      </c>
      <c r="B12" s="23" t="n">
        <f aca="false">SUM(B5:B11)</f>
        <v>42</v>
      </c>
      <c r="C12" s="23" t="n">
        <f aca="false">SUM(C5:C11)</f>
        <v>77</v>
      </c>
      <c r="D12" s="23" t="n">
        <f aca="false">SUM(D5:D11)</f>
        <v>2</v>
      </c>
      <c r="E12" s="23" t="n">
        <f aca="false">SUM(E5:E11)</f>
        <v>64</v>
      </c>
      <c r="F12" s="23" t="n">
        <f aca="false">SUM(F5:F11)</f>
        <v>3</v>
      </c>
      <c r="G12" s="23" t="n">
        <f aca="false">SUM(G5:G11)</f>
        <v>17</v>
      </c>
      <c r="H12" s="23" t="n">
        <f aca="false">SUM(H5:H11)</f>
        <v>205</v>
      </c>
    </row>
    <row r="13" customFormat="false" ht="15" hidden="false" customHeight="true" outlineLevel="0" collapsed="false">
      <c r="A13" s="21"/>
      <c r="B13" s="22"/>
      <c r="C13" s="22"/>
      <c r="D13" s="22"/>
      <c r="E13" s="22"/>
      <c r="F13" s="22"/>
      <c r="G13" s="22"/>
      <c r="H13" s="22"/>
    </row>
    <row r="14" customFormat="false" ht="15" hidden="false" customHeight="true" outlineLevel="0" collapsed="false">
      <c r="A14" s="21" t="s">
        <v>579</v>
      </c>
      <c r="B14" s="22"/>
      <c r="C14" s="22"/>
      <c r="D14" s="22"/>
      <c r="E14" s="22"/>
      <c r="F14" s="22"/>
      <c r="G14" s="22"/>
      <c r="H14" s="22"/>
    </row>
    <row r="15" customFormat="false" ht="15" hidden="false" customHeight="true" outlineLevel="0" collapsed="false">
      <c r="A15" s="21" t="s">
        <v>27</v>
      </c>
      <c r="B15" s="22" t="n">
        <f aca="false">COUNTIF(Register!$F$2:$F$206,$A15)</f>
        <v>140</v>
      </c>
      <c r="C15" s="22"/>
      <c r="D15" s="22"/>
      <c r="E15" s="22"/>
      <c r="F15" s="22"/>
      <c r="G15" s="22"/>
      <c r="H15" s="22"/>
    </row>
    <row r="16" customFormat="false" ht="15" hidden="false" customHeight="true" outlineLevel="0" collapsed="false">
      <c r="A16" s="21" t="s">
        <v>137</v>
      </c>
      <c r="B16" s="22" t="n">
        <f aca="false">COUNTIF(Register!$F$2:$F$206,$A16)</f>
        <v>5</v>
      </c>
      <c r="C16" s="22"/>
      <c r="D16" s="22"/>
      <c r="E16" s="22"/>
      <c r="F16" s="22"/>
      <c r="G16" s="22"/>
      <c r="H16" s="22"/>
    </row>
    <row r="17" customFormat="false" ht="15" hidden="false" customHeight="true" outlineLevel="0" collapsed="false">
      <c r="A17" s="21" t="s">
        <v>13</v>
      </c>
      <c r="B17" s="22" t="n">
        <f aca="false">COUNTIF(Register!$F$2:$F$206,"Fixed")</f>
        <v>55</v>
      </c>
      <c r="C17" s="22"/>
      <c r="D17" s="22"/>
      <c r="E17" s="22"/>
      <c r="F17" s="22"/>
      <c r="G17" s="22"/>
      <c r="H17" s="22"/>
    </row>
    <row r="18" customFormat="false" ht="15" hidden="false" customHeight="true" outlineLevel="0" collapsed="false">
      <c r="A18" s="21" t="s">
        <v>580</v>
      </c>
      <c r="B18" s="22" t="n">
        <f aca="false">COUNTIF(Register!$F$2:$F$206,$A18)</f>
        <v>0</v>
      </c>
      <c r="C18" s="22"/>
      <c r="D18" s="22"/>
      <c r="E18" s="22"/>
      <c r="F18" s="22"/>
      <c r="G18" s="22"/>
      <c r="H18" s="22"/>
    </row>
    <row r="19" customFormat="false" ht="15" hidden="false" customHeight="true" outlineLevel="0" collapsed="false">
      <c r="A19" s="21" t="s">
        <v>350</v>
      </c>
      <c r="B19" s="22" t="n">
        <f aca="false">COUNTIF(Register!$F$2:$F$206,$A19)</f>
        <v>3</v>
      </c>
      <c r="C19" s="22"/>
      <c r="D19" s="22"/>
      <c r="E19" s="22"/>
      <c r="F19" s="22"/>
      <c r="G19" s="22"/>
      <c r="H19" s="22"/>
    </row>
    <row r="20" customFormat="false" ht="15" hidden="false" customHeight="true" outlineLevel="0" collapsed="false">
      <c r="A20" s="21" t="s">
        <v>581</v>
      </c>
      <c r="B20" s="22" t="n">
        <f aca="false">COUNTIF(Register!$G$2:$G$206,"Verified in code")</f>
        <v>64</v>
      </c>
      <c r="C20" s="22"/>
      <c r="D20" s="22"/>
      <c r="E20" s="22"/>
      <c r="F20" s="22"/>
      <c r="G20" s="22"/>
      <c r="H20" s="2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2026-08-04T14:04:17Z</dcterms:created>
  <dc:creator>openpyxl</dc:creator>
  <dc:description/>
  <dc:language>en-US</dc:language>
  <cp:lastModifiedBy/>
  <dcterms:modified xsi:type="dcterms:W3CDTF">2026-08-04T23:36:29Z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