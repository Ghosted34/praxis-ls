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gister" sheetId="1" state="visible" r:id="rId1"/>
    <sheet xmlns:r="http://schemas.openxmlformats.org/officeDocument/2006/relationships" name="Summary" sheetId="2" state="visible" r:id="rId2"/>
  </sheets>
  <definedNames>
    <definedName name="_xlnm._FilterDatabase" localSheetId="0" hidden="1">'Register'!$A$1:$H$212</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sz val="10"/>
    </font>
    <font>
      <name val="Arial"/>
      <charset val="1"/>
      <family val="0"/>
      <sz val="10"/>
    </font>
    <font>
      <name val="Arial"/>
      <charset val="1"/>
      <family val="0"/>
      <b val="1"/>
      <color rgb="FF38761D"/>
      <sz val="10"/>
    </font>
    <font>
      <name val="Arial"/>
      <charset val="1"/>
      <family val="0"/>
      <b val="1"/>
      <color rgb="FF1155CC"/>
      <sz val="10"/>
    </font>
    <font>
      <name val="Arial"/>
      <charset val="1"/>
      <family val="0"/>
      <b val="1"/>
      <color rgb="FFB45F06"/>
      <sz val="10"/>
    </font>
    <font>
      <name val="Arial"/>
      <charset val="1"/>
      <family val="0"/>
      <i val="1"/>
      <color rgb="FF666666"/>
      <sz val="10"/>
    </font>
    <font>
      <name val="Arial"/>
      <charset val="1"/>
      <family val="0"/>
      <b val="1"/>
      <sz val="14"/>
    </font>
  </fonts>
  <fills count="9">
    <fill>
      <patternFill/>
    </fill>
    <fill>
      <patternFill patternType="gray125"/>
    </fill>
    <fill>
      <patternFill patternType="solid">
        <fgColor rgb="FF1F3864"/>
        <bgColor rgb="FF333333"/>
      </patternFill>
    </fill>
    <fill>
      <patternFill patternType="solid">
        <fgColor rgb="FFF4CCCC"/>
        <bgColor rgb="FFD9D9D9"/>
      </patternFill>
    </fill>
    <fill>
      <patternFill patternType="solid">
        <fgColor rgb="FFFCE5CD"/>
        <bgColor rgb="FFFDEBD3"/>
      </patternFill>
    </fill>
    <fill>
      <patternFill patternType="solid">
        <fgColor rgb="FFFFF2CC"/>
        <bgColor rgb="FFFDEBD3"/>
      </patternFill>
    </fill>
    <fill>
      <patternFill patternType="solid">
        <fgColor rgb="FFD9EAD3"/>
        <bgColor rgb="FFD9D9D9"/>
      </patternFill>
    </fill>
    <fill>
      <patternFill patternType="solid">
        <fgColor rgb="FFFDEBD3"/>
        <bgColor rgb="FFFCE5CD"/>
      </patternFill>
    </fill>
    <fill>
      <patternFill patternType="solid">
        <fgColor rgb="FFF3F3D9"/>
        <b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6" fillId="4" borderId="1" applyAlignment="1" pivotButton="0" quotePrefix="0" xfId="0">
      <alignment horizontal="center" vertical="top"/>
    </xf>
    <xf numFmtId="0" fontId="6" fillId="5" borderId="1" applyAlignment="1" pivotButton="0" quotePrefix="0" xfId="0">
      <alignment horizontal="center" vertical="top"/>
    </xf>
    <xf numFmtId="0" fontId="6" fillId="6" borderId="1" applyAlignment="1" pivotButton="0" quotePrefix="0" xfId="0">
      <alignment horizontal="center" vertical="top"/>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7" borderId="1" applyAlignment="1" pivotButton="0" quotePrefix="0" xfId="0">
      <alignment horizontal="center" vertical="top"/>
    </xf>
    <xf numFmtId="0" fontId="6" fillId="8" borderId="1" applyAlignment="1" pivotButton="0" quotePrefix="0" xfId="0">
      <alignment horizontal="center" vertical="top"/>
    </xf>
    <xf numFmtId="0" fontId="11" fillId="0" borderId="0" applyAlignment="1" pivotButton="0" quotePrefix="0" xfId="0">
      <alignment horizontal="left" vertical="bottom"/>
    </xf>
    <xf numFmtId="0" fontId="0" fillId="0" borderId="0" applyAlignment="1" pivotButton="0" quotePrefix="0" xfId="0">
      <alignment horizontal="center" vertical="bottom"/>
    </xf>
    <xf numFmtId="0" fontId="10" fillId="0" borderId="0" applyAlignment="1" pivotButton="0" quotePrefix="0" xfId="0">
      <alignment horizontal="left" vertical="bottom"/>
    </xf>
    <xf numFmtId="0" fontId="0" fillId="0" borderId="0" applyAlignment="1" pivotButton="0" quotePrefix="0" xfId="0">
      <alignment horizontal="left" vertical="bottom"/>
    </xf>
    <xf numFmtId="0" fontId="4" fillId="2" borderId="0" applyAlignment="1" pivotButton="0" quotePrefix="0" xfId="0">
      <alignment horizontal="left" vertical="bottom"/>
    </xf>
    <xf numFmtId="0" fontId="4" fillId="2" borderId="0" applyAlignment="1" pivotButton="0" quotePrefix="0" xfId="0">
      <alignment horizontal="center" vertical="bottom"/>
    </xf>
    <xf numFmtId="0" fontId="5" fillId="0" borderId="0" applyAlignment="1" pivotButton="0" quotePrefix="0" xfId="0">
      <alignment horizontal="left" vertical="bottom"/>
    </xf>
    <xf numFmtId="0" fontId="6" fillId="0" borderId="0" applyAlignment="1" pivotButton="0" quotePrefix="0" xfId="0">
      <alignment horizontal="center" vertical="bottom"/>
    </xf>
    <xf numFmtId="0" fontId="5"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6" fillId="4" borderId="1" applyAlignment="1" pivotButton="0" quotePrefix="0" xfId="0">
      <alignment horizontal="center" vertical="top"/>
    </xf>
    <xf numFmtId="0" fontId="6" fillId="5" borderId="1" applyAlignment="1" pivotButton="0" quotePrefix="0" xfId="0">
      <alignment horizontal="center" vertical="top"/>
    </xf>
    <xf numFmtId="0" fontId="6" fillId="6" borderId="1" applyAlignment="1" pivotButton="0" quotePrefix="0" xfId="0">
      <alignment horizontal="center" vertical="top"/>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7" borderId="1" applyAlignment="1" pivotButton="0" quotePrefix="0" xfId="0">
      <alignment horizontal="center" vertical="top"/>
    </xf>
    <xf numFmtId="0" fontId="6" fillId="8" borderId="1" applyAlignment="1" pivotButton="0" quotePrefix="0" xfId="0">
      <alignment horizontal="center" vertical="top"/>
    </xf>
    <xf numFmtId="0" fontId="11" fillId="0" borderId="0" applyAlignment="1" pivotButton="0" quotePrefix="0" xfId="0">
      <alignment horizontal="left" vertical="bottom"/>
    </xf>
    <xf numFmtId="0" fontId="0" fillId="0" borderId="0" applyAlignment="1" pivotButton="0" quotePrefix="0" xfId="0">
      <alignment horizontal="center" vertical="bottom"/>
    </xf>
    <xf numFmtId="0" fontId="10" fillId="0" borderId="0" applyAlignment="1" pivotButton="0" quotePrefix="0" xfId="0">
      <alignment horizontal="left" vertical="bottom"/>
    </xf>
    <xf numFmtId="0" fontId="0" fillId="0" borderId="0" applyAlignment="1" pivotButton="0" quotePrefix="0" xfId="0">
      <alignment horizontal="left" vertical="bottom"/>
    </xf>
    <xf numFmtId="0" fontId="4" fillId="2" borderId="0" applyAlignment="1" pivotButton="0" quotePrefix="0" xfId="0">
      <alignment horizontal="left" vertical="bottom"/>
    </xf>
    <xf numFmtId="0" fontId="4" fillId="2" borderId="0" applyAlignment="1" pivotButton="0" quotePrefix="0" xfId="0">
      <alignment horizontal="center" vertical="bottom"/>
    </xf>
    <xf numFmtId="0" fontId="5" fillId="0" borderId="0" applyAlignment="1" pivotButton="0" quotePrefix="0" xfId="0">
      <alignment horizontal="left" vertical="bottom"/>
    </xf>
    <xf numFmtId="0" fontId="6" fillId="0" borderId="0" applyAlignment="1" pivotButton="0" quotePrefix="0" xfId="0">
      <alignment horizontal="center" vertical="bottom"/>
    </xf>
    <xf numFmtId="0" fontId="5" fillId="0" borderId="0" applyAlignment="1" pivotButton="0" quotePrefix="0" xfId="0">
      <alignment horizontal="center" vertical="bottom"/>
    </xf>
    <xf numFmtId="0" fontId="6"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F3F3D9"/>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FDEBD3"/>
          <bgColor rgb="FF000000"/>
        </patternFill>
      </fill>
    </dxf>
    <dxf>
      <fill>
        <patternFill patternType="solid">
          <fgColor rgb="FFFFF2CC"/>
          <bgColor rgb="FF000000"/>
        </patternFill>
      </fill>
    </dxf>
    <dxf>
      <fill>
        <patternFill patternType="solid">
          <fgColor rgb="FF38761D"/>
          <bgColor rgb="FF000000"/>
        </patternFill>
      </fill>
    </dxf>
    <dxf>
      <fill>
        <patternFill patternType="solid">
          <fgColor rgb="FF666666"/>
          <bgColor rgb="FF000000"/>
        </patternFill>
      </fill>
    </dxf>
    <dxf>
      <fill>
        <patternFill patternType="solid">
          <fgColor rgb="FFB45F06"/>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38761D"/>
      <rgbColor rgb="FF000080"/>
      <rgbColor rgb="FF808000"/>
      <rgbColor rgb="FF800080"/>
      <rgbColor rgb="FF008080"/>
      <rgbColor rgb="FFC0C0C0"/>
      <rgbColor rgb="FF808080"/>
      <rgbColor rgb="FF9999FF"/>
      <rgbColor rgb="FF993366"/>
      <rgbColor rgb="FFFFF2CC"/>
      <rgbColor rgb="FFFDEBD3"/>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FCE5CD"/>
      <rgbColor rgb="FFD9EAD3"/>
      <rgbColor rgb="FFF3F3D9"/>
      <rgbColor rgb="FF99CCFF"/>
      <rgbColor rgb="FFFF99CC"/>
      <rgbColor rgb="FFCC99FF"/>
      <rgbColor rgb="FFF4CCCC"/>
      <rgbColor rgb="FF3366FF"/>
      <rgbColor rgb="FF33CCCC"/>
      <rgbColor rgb="FF99CC00"/>
      <rgbColor rgb="FFFFCC00"/>
      <rgbColor rgb="FFFF9900"/>
      <rgbColor rgb="FFFF6600"/>
      <rgbColor rgb="FF666666"/>
      <rgbColor rgb="FF969696"/>
      <rgbColor rgb="FF1F3864"/>
      <rgbColor rgb="FF339966"/>
      <rgbColor rgb="FF003300"/>
      <rgbColor rgb="FF333300"/>
      <rgbColor rgb="FFB45F06"/>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218"/>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11" customWidth="1" style="24" min="1" max="1"/>
    <col width="19" customWidth="1" style="24" min="2" max="2"/>
    <col width="74" customWidth="1" style="24" min="3" max="3"/>
    <col width="12" customWidth="1" style="24" min="4" max="4"/>
    <col width="20" customWidth="1" style="24" min="5" max="5"/>
    <col width="18" customWidth="1" style="24" min="6" max="6"/>
    <col width="16" customWidth="1" style="24" min="7" max="7"/>
    <col width="74" customWidth="1" style="24" min="8" max="8"/>
  </cols>
  <sheetData>
    <row r="1" ht="15" customHeight="1" s="25">
      <c r="A1" s="26" t="inlineStr">
        <is>
          <t>ID</t>
        </is>
      </c>
      <c r="B1" s="26" t="inlineStr">
        <is>
          <t>Audit</t>
        </is>
      </c>
      <c r="C1" s="26" t="inlineStr">
        <is>
          <t>Finding</t>
        </is>
      </c>
      <c r="D1" s="26" t="inlineStr">
        <is>
          <t>Severity</t>
        </is>
      </c>
      <c r="E1" s="26" t="inlineStr">
        <is>
          <t>Fix class</t>
        </is>
      </c>
      <c r="F1" s="26" t="inlineStr">
        <is>
          <t>Status</t>
        </is>
      </c>
      <c r="G1" s="26" t="inlineStr">
        <is>
          <t>Verification</t>
        </is>
      </c>
      <c r="H1" s="26" t="inlineStr">
        <is>
          <t>Verification note / evidence</t>
        </is>
      </c>
    </row>
    <row r="2" ht="23.25" customHeight="1" s="25">
      <c r="A2" s="27" t="inlineStr">
        <is>
          <t>SEC-C1</t>
        </is>
      </c>
      <c r="B2" s="28" t="inlineStr">
        <is>
          <t>Security</t>
        </is>
      </c>
      <c r="C2" s="28" t="inlineStr">
        <is>
          <t>Live production credentials and employee PII committed to the repo, in the one path CI is told not to scan</t>
        </is>
      </c>
      <c r="D2" s="29" t="inlineStr">
        <is>
          <t>Critical</t>
        </is>
      </c>
      <c r="E2" s="28" t="inlineStr">
        <is>
          <t>Process + purge</t>
        </is>
      </c>
      <c r="F2" s="30" t="inlineStr">
        <is>
          <t>Fixed</t>
        </is>
      </c>
      <c r="G2" s="31" t="inlineStr">
        <is>
          <t>Verified in code</t>
        </is>
      </c>
      <c r="H2" s="28" t="inlineStr">
        <is>
          <t>Scanner un-excluded AND pattern set widened; 7 credential files cleaned (5 more than the audit cited, incl. 2 Groq keys CI found). CREDENTIALS ROTATED BY OWNER 2026-08-04. History still contains them — purge declined, rotation makes it harmless.</t>
        </is>
      </c>
    </row>
    <row r="3" ht="23.25" customHeight="1" s="25">
      <c r="A3" s="27" t="inlineStr">
        <is>
          <t>SEC-C2</t>
        </is>
      </c>
      <c r="B3" s="28" t="inlineStr">
        <is>
          <t>Security</t>
        </is>
      </c>
      <c r="C3" s="28" t="inlineStr">
        <is>
          <t>Logout does not end the session; the refresh token stays valid</t>
        </is>
      </c>
      <c r="D3" s="29" t="inlineStr">
        <is>
          <t>Critical</t>
        </is>
      </c>
      <c r="E3" s="28" t="inlineStr">
        <is>
          <t>Code, quick</t>
        </is>
      </c>
      <c r="F3" s="30" t="inlineStr">
        <is>
          <t>Fixed</t>
        </is>
      </c>
      <c r="G3" s="31" t="inlineStr">
        <is>
          <t>Verified in code</t>
        </is>
      </c>
      <c r="H3" s="28" t="inlineStr">
        <is>
          <t>Access tokens now carry `sid`; logout revokes the session from the TOKEN, not a body field the client never sent. Both issuance paths (login + refresh rotation) carry it — a test asserts every signAccessToken call site does. Response reports session_revoked honestly. Verified to FAIL 4/6 against the old service. Commit 809caad.</t>
        </is>
      </c>
    </row>
    <row r="4" ht="23.25" customHeight="1" s="25">
      <c r="A4" s="27" t="inlineStr">
        <is>
          <t>SEC-C3</t>
        </is>
      </c>
      <c r="B4" s="28" t="inlineStr">
        <is>
          <t>Security</t>
        </is>
      </c>
      <c r="C4" s="28" t="inlineStr">
        <is>
          <t>No brute-force protection on any authentication endpoint; failed-login counter never enforced</t>
        </is>
      </c>
      <c r="D4" s="29" t="inlineStr">
        <is>
          <t>Critical</t>
        </is>
      </c>
      <c r="E4" s="28" t="inlineStr">
        <is>
          <t>Code, quick</t>
        </is>
      </c>
      <c r="F4" s="30" t="inlineStr">
        <is>
          <t>Fixed</t>
        </is>
      </c>
      <c r="G4" s="31" t="inlineStr">
        <is>
          <t>Verified in code</t>
        </is>
      </c>
      <c r="H4" s="28" t="inlineStr">
        <is>
          <t>Limiters on all 11 credential surfaces across 3 tiers, AND the failed-login counter is now enforced as a decaying cooldown (migration 0495). 7 assertions on the curve.</t>
        </is>
      </c>
    </row>
    <row r="5" ht="15" customHeight="1" s="25">
      <c r="A5" s="27" t="inlineStr">
        <is>
          <t>SEC-H1</t>
        </is>
      </c>
      <c r="B5" s="28" t="inlineStr">
        <is>
          <t>Security</t>
        </is>
      </c>
      <c r="C5" s="28" t="inlineStr">
        <is>
          <t>The AI assistant executes business writes with no permission check at all</t>
        </is>
      </c>
      <c r="D5" s="32" t="inlineStr">
        <is>
          <t>High</t>
        </is>
      </c>
      <c r="E5" s="28" t="inlineStr">
        <is>
          <t>Code</t>
        </is>
      </c>
      <c r="F5" s="28" t="inlineStr">
        <is>
          <t>Fixed</t>
        </is>
      </c>
      <c r="G5" s="28" t="inlineStr">
        <is>
          <t>Verified</t>
        </is>
      </c>
      <c r="H5" s="28" t="inlineStr">
        <is>
          <t>New services/ai/action-authz.js. `required_permission` was populated by the registrar and SELECTed into the tool list and never compared against anything, so the assistant bypassed the module grant matrix for every authenticated user. Both execution sites now gate: the read path at the tool loop and the confirm path at execution. Grants resolve through identityCache.getGrants - same cache, same TTL, same invalidation as requirePermission - so the two paths cannot drift. FAILS CLOSED: an action whose required_permission is null or unparseable does not execute. Checked at confirm time, not only at propose time, because a human confirmation sits in between and grants can be revoked in it. Proven with the audit's scenario: a WMS-only operator is refused draft_supplier_invoice with no grant AND with can_read only, allowed with can_create; CEO bypass preserved; filterAllowed offers 0 of 2 tools. Verified transition_dossier's catalogue entry (MOD-29:edit) matches its HTTP route exactly - note the audit says that route also carries requireTransitionCapability(APPROVER), which is true of quotation/costing/cash_request/payroll but NOT of operations_file, whose route is requirePermission(MODULE,'edit') only.</t>
        </is>
      </c>
    </row>
    <row r="6" ht="23.25" customHeight="1" s="25">
      <c r="A6" s="27" t="inlineStr">
        <is>
          <t>SEC-H2</t>
        </is>
      </c>
      <c r="B6" s="28" t="inlineStr">
        <is>
          <t>Security</t>
        </is>
      </c>
      <c r="C6" s="28" t="inlineStr">
        <is>
          <t>Platform Console credential-store routes have no capability gate</t>
        </is>
      </c>
      <c r="D6" s="32" t="inlineStr">
        <is>
          <t>High</t>
        </is>
      </c>
      <c r="E6" s="28" t="inlineStr">
        <is>
          <t>Code, quick</t>
        </is>
      </c>
      <c r="F6" s="30" t="inlineStr">
        <is>
          <t>Fixed</t>
        </is>
      </c>
      <c r="G6" s="31" t="inlineStr">
        <is>
          <t>Verified in code</t>
        </is>
      </c>
      <c r="H6" s="28" t="inlineStr">
        <is>
          <t>requireCap on all 8 routes; settings.read/write + migration 0032; structural test asserts all 47 platform routes are gated.</t>
        </is>
      </c>
    </row>
    <row r="7" ht="23.25" customHeight="1" s="25">
      <c r="A7" s="27" t="inlineStr">
        <is>
          <t>SEC-H3</t>
        </is>
      </c>
      <c r="B7" s="28" t="inlineStr">
        <is>
          <t>Security</t>
        </is>
      </c>
      <c r="C7" s="28" t="inlineStr">
        <is>
          <t>Request-body keys become SQL column identifiers on modules using the passthrough validator</t>
        </is>
      </c>
      <c r="D7" s="32" t="inlineStr">
        <is>
          <t>High</t>
        </is>
      </c>
      <c r="E7" s="28" t="inlineStr">
        <is>
          <t>Code</t>
        </is>
      </c>
      <c r="F7" s="28" t="inlineStr">
        <is>
          <t>Fixed</t>
        </is>
      </c>
      <c r="G7" s="28" t="inlineStr">
        <is>
          <t>Verified</t>
        </is>
      </c>
      <c r="H7" s="28" t="inlineStr">
        <is>
          <t>Three layers. (1) query-helpers validates every column identifier against a strict pattern and DOUBLE-QUOTES it, killing the injection half at the one place no module author can bypass. (2) makeRepo accepts `writable`, an explicit allow-list, declared on all 8 control-plane repos - user_session bounded to device_label alone (the audit's scenario: killed_at and user_id were writable, so MOD-67 edit could resurrect a revoked admin session), immutable_ledger to an EMPTY list, app_user excluding failed_logins/last_login_at as well as the hashes, role excluding is_system. (3) New CI gate scripts/check-write-route-validators.js. Proven: the audit's exact payload shape and a quote-escape attempt both 422 as INVALID_FIELD; mass assignment 422s as FIELD_NOT_WRITABLE naming each field; legitimate writes still emit correct quoted SQL. First version of the gate flagged 41 routes because it checked req.body per FILE - tightened to resolve the actual handler, then fixed the 10 real violations it found (godmode /purge, which takes a God-Mode PIN, had no validator at all).</t>
        </is>
      </c>
    </row>
    <row r="8" ht="15" customHeight="1" s="25">
      <c r="A8" s="27" t="inlineStr">
        <is>
          <t>SEC-H4</t>
        </is>
      </c>
      <c r="B8" s="28" t="inlineStr">
        <is>
          <t>Security</t>
        </is>
      </c>
      <c r="C8" s="28" t="inlineStr">
        <is>
          <t>MOD-67 'edit' can take over any account, including the CEO, with no re-authentication</t>
        </is>
      </c>
      <c r="D8" s="32" t="inlineStr">
        <is>
          <t>High</t>
        </is>
      </c>
      <c r="E8" s="28" t="inlineStr">
        <is>
          <t>Code</t>
        </is>
      </c>
      <c r="F8" s="28" t="inlineStr">
        <is>
          <t>Fixed</t>
        </is>
      </c>
      <c r="G8" s="28" t="inlineStr">
        <is>
          <t>Verified</t>
        </is>
      </c>
      <c r="H8" s="28" t="inlineStr">
        <is>
          <t>Three rules in app_user.service. (1) You may not grant a role you do not hold - the general form, because blocking only the CEO role leaves every other privileged role open and is circumvented via any role that itself grants MOD-67. (2) You may not change your own roles, except a NO-OP (the user-edit form posts the whole record, so a strict refusal would 403 an admin changing their own phone number; compared as sets). (3) Only a CEO may set a CEO's password. Proven: self-grant of CEO -&gt; 403 SELF_ROLE_CHANGE; granting CEO or Finance Manager to a colleague -&gt; 403 ROLE_ESCALATION naming the role; granting a role they hold -&gt; allowed; setting the CEO's password -&gt; 403 PRIVILEGED_TARGET; own and ordinary users' passwords still work; a real CEO can still do all of it. Caught a bug pre-ship: the guard called repo.roleNames(client, roleIds), but that function takes a USER id - added roleNamesByIds. Deliberately NOT adding step-up re-auth (also suggested): it needs a UI flow and an SSO decision, and these three rules close the escalation path without it.</t>
        </is>
      </c>
    </row>
    <row r="9" ht="15" customHeight="1" s="25">
      <c r="A9" s="27" t="inlineStr">
        <is>
          <t>SEC-H5</t>
        </is>
      </c>
      <c r="B9" s="28" t="inlineStr">
        <is>
          <t>Security</t>
        </is>
      </c>
      <c r="C9" s="28" t="inlineStr">
        <is>
          <t>Rate limiting is bypassable: trust proxy true with an IP-keyed in-memory store</t>
        </is>
      </c>
      <c r="D9" s="32" t="inlineStr">
        <is>
          <t>High</t>
        </is>
      </c>
      <c r="E9" s="28" t="inlineStr">
        <is>
          <t>Config + code</t>
        </is>
      </c>
      <c r="F9" s="30" t="inlineStr">
        <is>
          <t>Fixed</t>
        </is>
      </c>
      <c r="G9" s="31" t="inlineStr">
        <is>
          <t>Verified in code</t>
        </is>
      </c>
      <c r="H9" s="28" t="inlineStr">
        <is>
          <t>Redis-backed limiter store; trust proxy is now a hop count (TRUST_PROXY_HOPS), not `true`.</t>
        </is>
      </c>
    </row>
    <row r="10" ht="23.25" customHeight="1" s="25">
      <c r="A10" s="27" t="inlineStr">
        <is>
          <t>SEC-H6</t>
        </is>
      </c>
      <c r="B10" s="28" t="inlineStr">
        <is>
          <t>Security</t>
        </is>
      </c>
      <c r="C10" s="28" t="inlineStr">
        <is>
          <t>Portal and platform accounts protected by an 8-char password, no complexity or breach check</t>
        </is>
      </c>
      <c r="D10" s="32" t="inlineStr">
        <is>
          <t>High</t>
        </is>
      </c>
      <c r="E10" s="28" t="inlineStr">
        <is>
          <t>Code, quick</t>
        </is>
      </c>
      <c r="F10" s="28" t="inlineStr">
        <is>
          <t>Fixed</t>
        </is>
      </c>
      <c r="G10" s="28" t="inlineStr">
        <is>
          <t>Verified</t>
        </is>
      </c>
      <c r="H10" s="28" t="inlineStr">
        <is>
          <t>Both tiers now use the real policy. Portal (createUser, setPassword, acceptInvite) had an inline `length &lt; 8` in three places; all three call passwordPolicy.assertStrongPassword with the account's email. In acceptInvite the check MOVED BELOW the token lookup because the local-part rule needs the invitee's email - an invalid token still fails first with the same generic error, so it leaks nothing. Platform: zod min(8) replaced by a strongPassword field (12 chars + 4 character classes) on userCreate/userPassword/admin, plus the async half (HIBP + local-part) in users.service.create/setPassword and provisioning.createAdmin - the last of which creates the TENANT ADMIN who typically receives the CEO role. Proven: 'password' and '12345678', both named in the audit, went from accepted to rejected; 'Password1!' rejected on length; local-part rule fires on Markkelvin99!X for markkelvin@x.com.</t>
        </is>
      </c>
    </row>
    <row r="11" ht="15" customHeight="1" s="25">
      <c r="A11" s="27" t="inlineStr">
        <is>
          <t>SEC-M1</t>
        </is>
      </c>
      <c r="B11" s="28" t="inlineStr">
        <is>
          <t>Security</t>
        </is>
      </c>
      <c r="C11" s="28" t="inlineStr">
        <is>
          <t>Access tokens are not session-bound: revocation does not revoke</t>
        </is>
      </c>
      <c r="D11" s="33" t="inlineStr">
        <is>
          <t>Medium</t>
        </is>
      </c>
      <c r="E11" s="28" t="inlineStr">
        <is>
          <t>Code</t>
        </is>
      </c>
      <c r="F11" s="28" t="inlineStr">
        <is>
          <t>Open</t>
        </is>
      </c>
      <c r="G11" s="28" t="inlineStr">
        <is>
          <t>As reported</t>
        </is>
      </c>
      <c r="H11" s="28" t="n"/>
    </row>
    <row r="12" ht="15" customHeight="1" s="25">
      <c r="A12" s="27" t="inlineStr">
        <is>
          <t>SEC-M2</t>
        </is>
      </c>
      <c r="B12" s="28" t="inlineStr">
        <is>
          <t>Security</t>
        </is>
      </c>
      <c r="C12" s="28" t="inlineStr">
        <is>
          <t>killSession has no ownership predicate</t>
        </is>
      </c>
      <c r="D12" s="33" t="inlineStr">
        <is>
          <t>Medium</t>
        </is>
      </c>
      <c r="E12" s="28" t="inlineStr">
        <is>
          <t>Code, quick</t>
        </is>
      </c>
      <c r="F12" s="30" t="inlineStr">
        <is>
          <t>Fixed</t>
        </is>
      </c>
      <c r="G12" s="31" t="inlineStr">
        <is>
          <t>Verified in code</t>
        </is>
      </c>
      <c r="H12" s="28" t="inlineStr">
        <is>
          <t>killSession is now always scoped to the acting user. Folded into the SEC-C2 fix. Commit 809caad.</t>
        </is>
      </c>
    </row>
    <row r="13" ht="15" customHeight="1" s="25">
      <c r="A13" s="27" t="inlineStr">
        <is>
          <t>SEC-M3</t>
        </is>
      </c>
      <c r="B13" s="28" t="inlineStr">
        <is>
          <t>Security</t>
        </is>
      </c>
      <c r="C13" s="28" t="inlineStr">
        <is>
          <t>Document vault authorization is module-level, not record-level</t>
        </is>
      </c>
      <c r="D13" s="33" t="inlineStr">
        <is>
          <t>Medium</t>
        </is>
      </c>
      <c r="E13" s="28" t="inlineStr">
        <is>
          <t>Code</t>
        </is>
      </c>
      <c r="F13" s="28" t="inlineStr">
        <is>
          <t>Open</t>
        </is>
      </c>
      <c r="G13" s="28" t="inlineStr">
        <is>
          <t>As reported</t>
        </is>
      </c>
      <c r="H13" s="28" t="n"/>
    </row>
    <row r="14" ht="15" customHeight="1" s="25">
      <c r="A14" s="27" t="inlineStr">
        <is>
          <t>SEC-M4</t>
        </is>
      </c>
      <c r="B14" s="28" t="inlineStr">
        <is>
          <t>Security</t>
        </is>
      </c>
      <c r="C14" s="28" t="inlineStr">
        <is>
          <t>The Socket.IO handshake lets the client name its own tenant</t>
        </is>
      </c>
      <c r="D14" s="33" t="inlineStr">
        <is>
          <t>Medium</t>
        </is>
      </c>
      <c r="E14" s="28" t="inlineStr">
        <is>
          <t>Code</t>
        </is>
      </c>
      <c r="F14" s="28" t="inlineStr">
        <is>
          <t>Open</t>
        </is>
      </c>
      <c r="G14" s="28" t="inlineStr">
        <is>
          <t>As reported</t>
        </is>
      </c>
      <c r="H14" s="28" t="n"/>
    </row>
    <row r="15" ht="15" customHeight="1" s="25">
      <c r="A15" s="27" t="inlineStr">
        <is>
          <t>SEC-M5</t>
        </is>
      </c>
      <c r="B15" s="28" t="inlineStr">
        <is>
          <t>Security</t>
        </is>
      </c>
      <c r="C15" s="28" t="inlineStr">
        <is>
          <t>One JWT secret across all three auth tiers, and no tenant claim in any token</t>
        </is>
      </c>
      <c r="D15" s="33" t="inlineStr">
        <is>
          <t>Medium</t>
        </is>
      </c>
      <c r="E15" s="28" t="inlineStr">
        <is>
          <t>Structural</t>
        </is>
      </c>
      <c r="F15" s="28" t="inlineStr">
        <is>
          <t>Open</t>
        </is>
      </c>
      <c r="G15" s="28" t="inlineStr">
        <is>
          <t>As reported</t>
        </is>
      </c>
      <c r="H15" s="28" t="n"/>
    </row>
    <row r="16" ht="15" customHeight="1" s="25">
      <c r="A16" s="27" t="inlineStr">
        <is>
          <t>SEC-M6</t>
        </is>
      </c>
      <c r="B16" s="28" t="inlineStr">
        <is>
          <t>Security</t>
        </is>
      </c>
      <c r="C16" s="28" t="inlineStr">
        <is>
          <t>Platform tier has no session store, no revocation and no 2FA</t>
        </is>
      </c>
      <c r="D16" s="33" t="inlineStr">
        <is>
          <t>Medium</t>
        </is>
      </c>
      <c r="E16" s="28" t="inlineStr">
        <is>
          <t>Structural</t>
        </is>
      </c>
      <c r="F16" s="28" t="inlineStr">
        <is>
          <t>Open</t>
        </is>
      </c>
      <c r="G16" s="28" t="inlineStr">
        <is>
          <t>As reported</t>
        </is>
      </c>
      <c r="H16" s="28" t="n"/>
    </row>
    <row r="17" ht="15" customHeight="1" s="25">
      <c r="A17" s="27" t="inlineStr">
        <is>
          <t>SEC-M7</t>
        </is>
      </c>
      <c r="B17" s="28" t="inlineStr">
        <is>
          <t>Security</t>
        </is>
      </c>
      <c r="C17" s="28" t="inlineStr">
        <is>
          <t>One database credential and one encryption key shared across all tenants</t>
        </is>
      </c>
      <c r="D17" s="33" t="inlineStr">
        <is>
          <t>Medium</t>
        </is>
      </c>
      <c r="E17" s="28" t="inlineStr">
        <is>
          <t>Structural</t>
        </is>
      </c>
      <c r="F17" s="28" t="inlineStr">
        <is>
          <t>Open</t>
        </is>
      </c>
      <c r="G17" s="28" t="inlineStr">
        <is>
          <t>As reported</t>
        </is>
      </c>
      <c r="H17" s="28" t="n"/>
    </row>
    <row r="18" ht="15" customHeight="1" s="25">
      <c r="A18" s="27" t="inlineStr">
        <is>
          <t>SEC-M8</t>
        </is>
      </c>
      <c r="B18" s="28" t="inlineStr">
        <is>
          <t>Security</t>
        </is>
      </c>
      <c r="C18" s="28" t="inlineStr">
        <is>
          <t>CSP permits unsafe-inline scripts application-wide</t>
        </is>
      </c>
      <c r="D18" s="33" t="inlineStr">
        <is>
          <t>Medium</t>
        </is>
      </c>
      <c r="E18" s="28" t="inlineStr">
        <is>
          <t>Config</t>
        </is>
      </c>
      <c r="F18" s="28" t="inlineStr">
        <is>
          <t>Open</t>
        </is>
      </c>
      <c r="G18" s="31" t="inlineStr">
        <is>
          <t>Verified in code</t>
        </is>
      </c>
      <c r="H18" s="28" t="inlineStr">
        <is>
          <t>server.js: script-src ['self','unsafe-inline'], script-src-attr ['unsafe-inline']</t>
        </is>
      </c>
    </row>
    <row r="19" ht="15" customHeight="1" s="25">
      <c r="A19" s="27" t="inlineStr">
        <is>
          <t>SEC-M9</t>
        </is>
      </c>
      <c r="B19" s="28" t="inlineStr">
        <is>
          <t>Security</t>
        </is>
      </c>
      <c r="C19" s="28" t="inlineStr">
        <is>
          <t>Dependency vulnerabilities present, gate non-blocking, no SAST or Dependabot</t>
        </is>
      </c>
      <c r="D19" s="33" t="inlineStr">
        <is>
          <t>Medium</t>
        </is>
      </c>
      <c r="E19" s="28" t="inlineStr">
        <is>
          <t>CI</t>
        </is>
      </c>
      <c r="F19" s="28" t="inlineStr">
        <is>
          <t>Open</t>
        </is>
      </c>
      <c r="G19" s="31" t="inlineStr">
        <is>
          <t>Verified in code</t>
        </is>
      </c>
      <c r="H19" s="28" t="inlineStr">
        <is>
          <t>ci.yaml:79 continue-on-error: true on npm audit</t>
        </is>
      </c>
    </row>
    <row r="20" ht="15" customHeight="1" s="25">
      <c r="A20" s="27" t="inlineStr">
        <is>
          <t>SEC-L1</t>
        </is>
      </c>
      <c r="B20" s="28" t="inlineStr">
        <is>
          <t>Security</t>
        </is>
      </c>
      <c r="C20" s="28" t="inlineStr">
        <is>
          <t>Containers run as root; compose bind-mounts the document vault into them</t>
        </is>
      </c>
      <c r="D20" s="34" t="inlineStr">
        <is>
          <t>Low</t>
        </is>
      </c>
      <c r="E20" s="28" t="inlineStr">
        <is>
          <t>Config, quick</t>
        </is>
      </c>
      <c r="F20" s="28" t="inlineStr">
        <is>
          <t>Open</t>
        </is>
      </c>
      <c r="G20" s="28" t="inlineStr">
        <is>
          <t>As reported</t>
        </is>
      </c>
      <c r="H20" s="28" t="n"/>
    </row>
    <row r="21" ht="23.25" customHeight="1" s="25">
      <c r="A21" s="27" t="inlineStr">
        <is>
          <t>SEC-L2</t>
        </is>
      </c>
      <c r="B21" s="28" t="inlineStr">
        <is>
          <t>Security</t>
        </is>
      </c>
      <c r="C21" s="28" t="inlineStr">
        <is>
          <t>Redis unauthenticated and keyspace not tenant-namespaced; invalidateGrants uses blocking KEYS</t>
        </is>
      </c>
      <c r="D21" s="34" t="inlineStr">
        <is>
          <t>Low</t>
        </is>
      </c>
      <c r="E21" s="28" t="inlineStr">
        <is>
          <t>Config + code</t>
        </is>
      </c>
      <c r="F21" s="28" t="inlineStr">
        <is>
          <t>Open</t>
        </is>
      </c>
      <c r="G21" s="28" t="inlineStr">
        <is>
          <t>As reported</t>
        </is>
      </c>
      <c r="H21" s="28" t="n"/>
    </row>
    <row r="22" ht="23.25" customHeight="1" s="25">
      <c r="A22" s="27" t="inlineStr">
        <is>
          <t>SEC-L3</t>
        </is>
      </c>
      <c r="B22" s="28" t="inlineStr">
        <is>
          <t>Security</t>
        </is>
      </c>
      <c r="C22" s="28" t="inlineStr">
        <is>
          <t>Refresh token in web storage</t>
        </is>
      </c>
      <c r="D22" s="34" t="inlineStr">
        <is>
          <t>Low</t>
        </is>
      </c>
      <c r="E22" s="28" t="inlineStr">
        <is>
          <t>Code (blocked by M8, C2)</t>
        </is>
      </c>
      <c r="F22" s="28" t="inlineStr">
        <is>
          <t>Open</t>
        </is>
      </c>
      <c r="G22" s="28" t="inlineStr">
        <is>
          <t>As reported</t>
        </is>
      </c>
      <c r="H22" s="28" t="n"/>
    </row>
    <row r="23" ht="23.25" customHeight="1" s="25">
      <c r="A23" s="27" t="inlineStr">
        <is>
          <t>SEC-L4</t>
        </is>
      </c>
      <c r="B23" s="28" t="inlineStr">
        <is>
          <t>Security</t>
        </is>
      </c>
      <c r="C23" s="28" t="inlineStr">
        <is>
          <t>Logger redaction misses refresh_token, access_token, password_hash, totp_secret_enc, secret_enc</t>
        </is>
      </c>
      <c r="D23" s="34" t="inlineStr">
        <is>
          <t>Low</t>
        </is>
      </c>
      <c r="E23" s="28" t="inlineStr">
        <is>
          <t>Config, quick</t>
        </is>
      </c>
      <c r="F23" s="30" t="inlineStr">
        <is>
          <t>Fixed</t>
        </is>
      </c>
      <c r="G23" s="31" t="inlineStr">
        <is>
          <t>Verified in code</t>
        </is>
      </c>
      <c r="H23" s="28" t="inlineStr">
        <is>
          <t>REDACT_PATHS widened; both top-level and nested forms generated from SENSITIVE_KEYS.</t>
        </is>
      </c>
    </row>
    <row r="24" ht="15" customHeight="1" s="25">
      <c r="A24" s="27" t="inlineStr">
        <is>
          <t>SEC-L5</t>
        </is>
      </c>
      <c r="B24" s="28" t="inlineStr">
        <is>
          <t>Security</t>
        </is>
      </c>
      <c r="C24" s="28" t="inlineStr">
        <is>
          <t>The anonymous-surface test is shallow - matches authMiddleware anywhere in the router</t>
        </is>
      </c>
      <c r="D24" s="34" t="inlineStr">
        <is>
          <t>Low</t>
        </is>
      </c>
      <c r="E24" s="28" t="inlineStr">
        <is>
          <t>Test, quick</t>
        </is>
      </c>
      <c r="F24" s="28" t="inlineStr">
        <is>
          <t>Open</t>
        </is>
      </c>
      <c r="G24" s="28" t="inlineStr">
        <is>
          <t>As reported</t>
        </is>
      </c>
      <c r="H24" s="28" t="n"/>
    </row>
    <row r="25" ht="15" customHeight="1" s="25">
      <c r="A25" s="27" t="inlineStr">
        <is>
          <t>SEC-L6</t>
        </is>
      </c>
      <c r="B25" s="28" t="inlineStr">
        <is>
          <t>Security</t>
        </is>
      </c>
      <c r="C25" s="28" t="inlineStr">
        <is>
          <t>src/middleware/audit.js is dead code, never imported or mounted</t>
        </is>
      </c>
      <c r="D25" s="34" t="inlineStr">
        <is>
          <t>Low</t>
        </is>
      </c>
      <c r="E25" s="28" t="inlineStr">
        <is>
          <t>Delete</t>
        </is>
      </c>
      <c r="F25" s="30" t="inlineStr">
        <is>
          <t>Fixed</t>
        </is>
      </c>
      <c r="G25" s="31" t="inlineStr">
        <is>
          <t>Verified in code</t>
        </is>
      </c>
      <c r="H25" s="28" t="inlineStr">
        <is>
          <t>src/middleware/audit.js deleted — never imported or mounted, so it read as an active control during review.</t>
        </is>
      </c>
    </row>
    <row r="26" ht="23.25" customHeight="1" s="25">
      <c r="A26" s="27" t="inlineStr">
        <is>
          <t>DI-5.5</t>
        </is>
      </c>
      <c r="B26" s="28" t="inlineStr">
        <is>
          <t>Data Integrity</t>
        </is>
      </c>
      <c r="C26" s="28" t="inlineStr">
        <is>
          <t>Asset depreciation never posts to the GL and records itself as posted</t>
        </is>
      </c>
      <c r="D26" s="29" t="inlineStr">
        <is>
          <t>Critical</t>
        </is>
      </c>
      <c r="E26" s="28" t="inlineStr">
        <is>
          <t>Code, quick</t>
        </is>
      </c>
      <c r="F26" s="30" t="inlineStr">
        <is>
          <t>Fixed</t>
        </is>
      </c>
      <c r="G26" s="31" t="inlineStr">
        <is>
          <t>Verified in code</t>
        </is>
      </c>
      <c r="H26" s="28" t="inlineStr">
        <is>
          <t>Depreciation now reaches the GL: account_code + sourceDocRef, and a ledger rejection FAILS the call instead of setting posted=true with entry_id NULL. 11 assertions, verified to FAIL against the pre-fix file. Sweep found only asset+payroll; a grep-as-a-test blocks a third. Commit 62a9646. NOTE: existing bad rows need scripts/db/reconcile-depreciation.js.</t>
        </is>
      </c>
    </row>
    <row r="27" ht="15" customHeight="1" s="25">
      <c r="A27" s="27" t="inlineStr">
        <is>
          <t>DI-5.1</t>
        </is>
      </c>
      <c r="B27" s="28" t="inlineStr">
        <is>
          <t>Data Integrity</t>
        </is>
      </c>
      <c r="C27" s="28" t="inlineStr">
        <is>
          <t>Inventory balance: no transaction, no lock, no DB floor</t>
        </is>
      </c>
      <c r="D27" s="29" t="inlineStr">
        <is>
          <t>Critical</t>
        </is>
      </c>
      <c r="E27" s="28" t="inlineStr">
        <is>
          <t>Code + constraint</t>
        </is>
      </c>
      <c r="F27" s="30" t="inlineStr">
        <is>
          <t>Fixed</t>
        </is>
      </c>
      <c r="G27" s="31" t="inlineStr">
        <is>
          <t>Verified in code</t>
        </is>
      </c>
      <c r="H27" s="28" t="inlineStr">
        <is>
          <t>inventory move() is now ONE transaction, reads the head FOR UPDATE, and applies a SIGNED delta in SQL with `WHERE qty_on_hand + $2 &gt;= 0` — so the floor is enforced by the database against the row it holds, not by a JS check that ran before the lock. Closes lost-update, the racy guard, and balance/journal divergence. 0497 adds CHECK (qty_on_hand &gt;= 0) as the last line.</t>
        </is>
      </c>
    </row>
    <row r="28" ht="15" customHeight="1" s="25">
      <c r="A28" s="27" t="inlineStr">
        <is>
          <t>DI-5.2</t>
        </is>
      </c>
      <c r="B28" s="28" t="inlineStr">
        <is>
          <t>Data Integrity</t>
        </is>
      </c>
      <c r="C28" s="28" t="inlineStr">
        <is>
          <t>Shared CRUD kit writes business row, event and audit as three separate commits</t>
        </is>
      </c>
      <c r="D28" s="29" t="inlineStr">
        <is>
          <t>Critical</t>
        </is>
      </c>
      <c r="E28" s="28" t="inlineStr">
        <is>
          <t>Code, mechanical</t>
        </is>
      </c>
      <c r="F28" s="30" t="inlineStr">
        <is>
          <t>Fixed</t>
        </is>
      </c>
      <c r="G28" s="31" t="inlineStr">
        <is>
          <t>Verified in code</t>
        </is>
      </c>
      <c r="H28" s="28" t="inlineStr">
        <is>
          <t>shared/db/tx.js atomically(); create/update/archive in the CRUD kit are each one unit. 25 modules build on makeService, so one helper covers all of them. The archive ordering comment is kept but is no longer load-bearing — a failure now rolls back instead of stranding a soft_delete row asserting a deletion that never happened.</t>
        </is>
      </c>
    </row>
    <row r="29" ht="15" customHeight="1" s="25">
      <c r="A29" s="27" t="inlineStr">
        <is>
          <t>DI-1.1</t>
        </is>
      </c>
      <c r="B29" s="28" t="inlineStr">
        <is>
          <t>Data Integrity</t>
        </is>
      </c>
      <c r="C29" s="28" t="inlineStr">
        <is>
          <t>~100 money/quantity columns with no CHECK constraint</t>
        </is>
      </c>
      <c r="D29" s="29" t="inlineStr">
        <is>
          <t>Critical</t>
        </is>
      </c>
      <c r="E29" s="28" t="inlineStr">
        <is>
          <t>Migration + data probe</t>
        </is>
      </c>
      <c r="F29" s="30" t="inlineStr">
        <is>
          <t>Fixed</t>
        </is>
      </c>
      <c r="G29" s="31" t="inlineStr">
        <is>
          <t>Verified in code</t>
        </is>
      </c>
      <c r="H29" s="28" t="inlineStr">
        <is>
          <t>Migration 0497: 71 CHECK constraints (66 non-negative, 5 strictly-positive rates) + asset.useful_life_months &gt; 0. All NOT VALID, so enforced on new writes immediately without failing on historical rows. CURATED not generated — stock_movement.qty is a SIGNED delta and is deliberately excluded, as are kpi_target.target_value and appraisal.actual_value. scripts/db/probe-money-constraints.js finds existing violations before VALIDATE.</t>
        </is>
      </c>
    </row>
    <row r="30" ht="15" customHeight="1" s="25">
      <c r="A30" s="27" t="inlineStr">
        <is>
          <t>DI-1.2</t>
        </is>
      </c>
      <c r="B30" s="28" t="inlineStr">
        <is>
          <t>Data Integrity</t>
        </is>
      </c>
      <c r="C30" s="28" t="inlineStr">
        <is>
          <t>No cross-row sum invariants (over-allocation, over-justification)</t>
        </is>
      </c>
      <c r="D30" s="29" t="inlineStr">
        <is>
          <t>Critical</t>
        </is>
      </c>
      <c r="E30" s="28" t="inlineStr">
        <is>
          <t>Migration + data probe</t>
        </is>
      </c>
      <c r="F30" s="30" t="inlineStr">
        <is>
          <t>Fixed</t>
        </is>
      </c>
      <c r="G30" s="31" t="inlineStr">
        <is>
          <t>Verified in code</t>
        </is>
      </c>
      <c r="H30" s="28" t="inlineStr">
        <is>
          <t>0497: advance.applied_amount &lt;= amount, regie_advance.justified+returned &lt;= amount. NOT VALID for the same reason.</t>
        </is>
      </c>
    </row>
    <row r="31" ht="15" customHeight="1" s="25">
      <c r="A31" s="27" t="inlineStr">
        <is>
          <t>DI-2.1</t>
        </is>
      </c>
      <c r="B31" s="28" t="inlineStr">
        <is>
          <t>Data Integrity</t>
        </is>
      </c>
      <c r="C31" s="28" t="inlineStr">
        <is>
          <t>ON DELETE CASCADE on financial and inventory history</t>
        </is>
      </c>
      <c r="D31" s="29" t="inlineStr">
        <is>
          <t>Critical</t>
        </is>
      </c>
      <c r="E31" s="28" t="inlineStr">
        <is>
          <t>Migration, careful</t>
        </is>
      </c>
      <c r="F31" s="30" t="inlineStr">
        <is>
          <t>Fixed</t>
        </is>
      </c>
      <c r="G31" s="31" t="inlineStr">
        <is>
          <t>Verified in code</t>
        </is>
      </c>
      <c r="H31" s="28" t="inlineStr">
        <is>
          <t>Migration 0498: nine ON DELETE CASCADE FKs on financial and inventory history changed to RESTRICT (depreciation_schedule, payment_allocation, invoice_line, supplier_invoice_line, cash_request_payment, debt_repayment, stock_movement, close_checklist, payroll_run_item). Follows the ledger's own correct pattern: block the parent delete rather than silently destroy the child.</t>
        </is>
      </c>
    </row>
    <row r="32" ht="15" customHeight="1" s="25">
      <c r="A32" s="27" t="inlineStr">
        <is>
          <t>DI-1.3</t>
        </is>
      </c>
      <c r="B32" s="28" t="inlineStr">
        <is>
          <t>Data Integrity</t>
        </is>
      </c>
      <c r="C32" s="28" t="inlineStr">
        <is>
          <t>Multi-currency ledger lines are stored but never reconciled to a base currency</t>
        </is>
      </c>
      <c r="D32" s="32" t="inlineStr">
        <is>
          <t>High</t>
        </is>
      </c>
      <c r="E32" s="28" t="inlineStr">
        <is>
          <t>Migration + code</t>
        </is>
      </c>
      <c r="F32" s="28" t="inlineStr">
        <is>
          <t>Fixed</t>
        </is>
      </c>
      <c r="G32" s="28" t="inlineStr">
        <is>
          <t>Verified</t>
        </is>
      </c>
      <c r="H32" s="28" t="inlineStr">
        <is>
          <t>0499: journal_line.debit_base/credit_base GENERATED ALWAYS from debit*fx_rate; assert_entry_balanced() rewritten to sum the BASE columns with tol=0.01*n. Generated, not app-written, so it cannot drift the way cached_receivables did. Single-currency ledgers unaffected (fx_rate defaults to 1). Every column verified present against parsed DDL.</t>
        </is>
      </c>
    </row>
    <row r="33" ht="15" customHeight="1" s="25">
      <c r="A33" s="27" t="inlineStr">
        <is>
          <t>DI-1.6</t>
        </is>
      </c>
      <c r="B33" s="28" t="inlineStr">
        <is>
          <t>Data Integrity</t>
        </is>
      </c>
      <c r="C33" s="28" t="inlineStr">
        <is>
          <t>doc_number is not unique anywhere</t>
        </is>
      </c>
      <c r="D33" s="32" t="inlineStr">
        <is>
          <t>High</t>
        </is>
      </c>
      <c r="E33" s="28" t="inlineStr">
        <is>
          <t>Migration + dedupe</t>
        </is>
      </c>
      <c r="F33" s="30" t="inlineStr">
        <is>
          <t>Fixed</t>
        </is>
      </c>
      <c r="G33" s="31" t="inlineStr">
        <is>
          <t>Verified in code</t>
        </is>
      </c>
      <c r="H33" s="28" t="inlineStr">
        <is>
          <t>0498: partial UNIQUE indexes on doc_number across all 9 document tables (WHERE NOT NULL, so drafts do not collide). No NOT VALID exists for uniqueness, so scripts/db/probe-doc-numbers.js must run first — it lists collisions before they become a failed deploy.</t>
        </is>
      </c>
    </row>
    <row r="34" ht="15" customHeight="1" s="25">
      <c r="A34" s="27" t="inlineStr">
        <is>
          <t>DI-1.8</t>
        </is>
      </c>
      <c r="B34" s="28" t="inlineStr">
        <is>
          <t>Data Integrity</t>
        </is>
      </c>
      <c r="C34" s="28" t="inlineStr">
        <is>
          <t>tax_code effective windows can overlap, producing wrong VAT silently</t>
        </is>
      </c>
      <c r="D34" s="32" t="inlineStr">
        <is>
          <t>High</t>
        </is>
      </c>
      <c r="E34" s="28" t="inlineStr">
        <is>
          <t>Migration + code</t>
        </is>
      </c>
      <c r="F34" s="28" t="inlineStr">
        <is>
          <t>Fixed</t>
        </is>
      </c>
      <c r="G34" s="28" t="inlineStr">
        <is>
          <t>Verified</t>
        </is>
      </c>
      <c r="H34" s="28" t="inlineStr">
        <is>
          <t>0499: EXCLUDE USING gist (jurisdiction_id =, code =, daterange &amp;&amp; ) on tax_code, btree_gist enabled. Upper bound is effective_to+1 because effective_to is inclusive in this schema. expense_rate gains the window sanity CHECK it never had. Both NOT VALID.</t>
        </is>
      </c>
    </row>
    <row r="35" ht="15" customHeight="1" s="25">
      <c r="A35" s="27" t="inlineStr">
        <is>
          <t>DI-1.9</t>
        </is>
      </c>
      <c r="B35" s="28" t="inlineStr">
        <is>
          <t>Data Integrity</t>
        </is>
      </c>
      <c r="C35" s="28" t="inlineStr">
        <is>
          <t>cached_receivables read but never written; credit limit inert</t>
        </is>
      </c>
      <c r="D35" s="32" t="inlineStr">
        <is>
          <t>High</t>
        </is>
      </c>
      <c r="E35" s="28" t="inlineStr">
        <is>
          <t>Code, quick</t>
        </is>
      </c>
      <c r="F35" s="28" t="inlineStr">
        <is>
          <t>Fixed</t>
        </is>
      </c>
      <c r="G35" s="28" t="inlineStr">
        <is>
          <t>Verified</t>
        </is>
      </c>
      <c r="H35" s="28" t="inlineStr">
        <is>
          <t>repo.outstandingFor() derives the real balance (locked FINAL invoices, less allocations, less credit notes - linked ones net per-invoice via reverses_invoice_id, unlinked ones net at client level). service.creditCheck passes it to creditStatus, which now takes `outstanding` as an argument rather than reading the dead column. Proven: limit 1M / owed 1.2M returned available=1,000,000 within=true before, available=-200,000 within=false after. All 3 access paths indexed. SQL parsed under the postgres dialect.</t>
        </is>
      </c>
    </row>
    <row r="36" ht="15" customHeight="1" s="25">
      <c r="A36" s="27" t="inlineStr">
        <is>
          <t>DI-2.2</t>
        </is>
      </c>
      <c r="B36" s="28" t="inlineStr">
        <is>
          <t>Data Integrity</t>
        </is>
      </c>
      <c r="C36" s="28" t="inlineStr">
        <is>
          <t>295 of 351 foreign keys have no index on the referencing column</t>
        </is>
      </c>
      <c r="D36" s="32" t="inlineStr">
        <is>
          <t>High</t>
        </is>
      </c>
      <c r="E36" s="28" t="inlineStr">
        <is>
          <t>Migration, online</t>
        </is>
      </c>
      <c r="F36" s="28" t="inlineStr">
        <is>
          <t>Fixed</t>
        </is>
      </c>
      <c r="G36" s="28" t="inlineStr">
        <is>
          <t>Verified</t>
        </is>
      </c>
      <c r="H36" s="28" t="inlineStr">
        <is>
          <t>0500: 290 FK indexes. Parsed all 344 FKs from the DDL, 54 already covered. Every table/column pair verified to exist. Plain CREATE INDEX, not CONCURRENTLY - the migrator sends each file as one multi-statement simple query, which is an implicit transaction block.</t>
        </is>
      </c>
    </row>
    <row r="37" ht="15" customHeight="1" s="25">
      <c r="A37" s="27" t="inlineStr">
        <is>
          <t>DI-2.4</t>
        </is>
      </c>
      <c r="B37" s="28" t="inlineStr">
        <is>
          <t>Data Integrity</t>
        </is>
      </c>
      <c r="C37" s="28" t="inlineStr">
        <is>
          <t>Sandbox actor-FK guard applied inconsistently</t>
        </is>
      </c>
      <c r="D37" s="32" t="inlineStr">
        <is>
          <t>High</t>
        </is>
      </c>
      <c r="E37" s="28" t="inlineStr">
        <is>
          <t>Code + design</t>
        </is>
      </c>
      <c r="F37" s="28" t="inlineStr">
        <is>
          <t>Fixed</t>
        </is>
      </c>
      <c r="G37" s="28" t="inlineStr">
        <is>
          <t>Verified in code</t>
        </is>
      </c>
      <c r="H37" s="48" t="inlineStr">
        <is>
          <t>~60 tenant columns are REFERENCES app_user(user_id); identity is pinned to the LIVE schema while business writes go to whichever schema the request selected, so a valid live user id raises 23503 beside sandbox data. emit.js guarded its own actor columns; the finding was that the guard was applied INCONSISTENTLY. All 15 raw `&lt;x&gt;_by: actor.user_id` writes across 13 services now go through resolveActorId (governance, extra_charge_simulation, margin_simulation, credit_note, final_invoice, journal_entry, appraisal, hr_query, hr_sanction, success_story, smartcomm, report, inventory.moved_by, cycle_count.counted_by). PREVENTION, because this is a class of defect that repairs itself back into existence the next time somebody adds an `_by` column: scripts/check-actor-fk-guard.js fails the build on a raw one with the reason and the remedy, wired into ci.yaml. Verified to bite (reintroducing one fails it) and green after. wms-inventory.test.js now models app_user per-schema and asserts both directions — the actor resolves when present, and a NULL is written rather than the movement failing when absent.</t>
        </is>
      </c>
    </row>
    <row r="38" ht="15" customHeight="1" s="25">
      <c r="A38" s="27" t="inlineStr">
        <is>
          <t>DI-3.1</t>
        </is>
      </c>
      <c r="B38" s="28" t="inlineStr">
        <is>
          <t>Data Integrity</t>
        </is>
      </c>
      <c r="C38" s="28" t="inlineStr">
        <is>
          <t>Migration application is not atomic with its ledger entry</t>
        </is>
      </c>
      <c r="D38" s="32" t="inlineStr">
        <is>
          <t>High</t>
        </is>
      </c>
      <c r="E38" s="28" t="inlineStr">
        <is>
          <t>Tooling</t>
        </is>
      </c>
      <c r="F38" s="28" t="inlineStr">
        <is>
          <t>Fixed</t>
        </is>
      </c>
      <c r="G38" s="28" t="inlineStr">
        <is>
          <t>Verified</t>
        </is>
      </c>
      <c r="H38" s="28" t="inlineStr">
        <is>
          <t>migrator.applyTracked now wraps the DDL and the schema_migration INSERT in one explicit transaction. Previously two round-trips: a crash between them left the schema changed but unrecorded, and the next run re-applied the file - harmless for CREATE TABLE IF NOT EXISTS, destructive for an ALTER with a backfill or a seed INSERT. Proven with a connection model: OLD leaves DDL durable + ledger unwritten, NEW leaves neither. Nothing lost by wrapping - verified 0 of 99 migration files use CONCURRENTLY/VACUUM outside comments.</t>
        </is>
      </c>
    </row>
    <row r="39" ht="15" customHeight="1" s="25">
      <c r="A39" s="27" t="inlineStr">
        <is>
          <t>DI-3.2</t>
        </is>
      </c>
      <c r="B39" s="28" t="inlineStr">
        <is>
          <t>Data Integrity</t>
        </is>
      </c>
      <c r="C39" s="28" t="inlineStr">
        <is>
          <t>A partial fleet upgrade leaves tenants on different schema versions</t>
        </is>
      </c>
      <c r="D39" s="32" t="inlineStr">
        <is>
          <t>High</t>
        </is>
      </c>
      <c r="E39" s="28" t="inlineStr">
        <is>
          <t>Tooling</t>
        </is>
      </c>
      <c r="F39" s="28" t="inlineStr">
        <is>
          <t>Fixed</t>
        </is>
      </c>
      <c r="G39" s="28" t="inlineStr">
        <is>
          <t>Verified</t>
        </is>
      </c>
      <c r="H39" s="28" t="inlineStr">
        <is>
          <t>migrateAllTenants was a bare loop with no try/catch, so the first failure aborted it and split the fleet at an arbitrary point with NOTHING RECORDING WHERE — during a deploy, while the new image expecting the new schema rolled out to all of them. It now continues past a failure, records per-tenant outcome, and throws afterwards so the deploy still goes red having done as much as it safely could. Continue rather than stop deliberately: a tenant-specific cause should not punish everyone after it in the list, and a systematic cause produces 'all 12 failed' rather than 'the first one failed'. Plus fleetSchemaStatus() + scripts/db/fleet-status.js, reading each tenant's own ledger so it reports what was APPLIED not what someone believes was; wired into CI.</t>
        </is>
      </c>
    </row>
    <row r="40" ht="15" customHeight="1" s="25">
      <c r="A40" s="27" t="inlineStr">
        <is>
          <t>DI-3.3</t>
        </is>
      </c>
      <c r="B40" s="28" t="inlineStr">
        <is>
          <t>Data Integrity</t>
        </is>
      </c>
      <c r="C40" s="28" t="inlineStr">
        <is>
          <t>Migration files and the live schema have already drifted (notification_preference)</t>
        </is>
      </c>
      <c r="D40" s="32" t="inlineStr">
        <is>
          <t>High</t>
        </is>
      </c>
      <c r="E40" s="28" t="inlineStr">
        <is>
          <t>Verify + tooling</t>
        </is>
      </c>
      <c r="F40" s="28" t="inlineStr">
        <is>
          <t>Fixed</t>
        </is>
      </c>
      <c r="G40" s="28" t="inlineStr">
        <is>
          <t>Verified</t>
        </is>
      </c>
      <c r="H40" s="28" t="inlineStr">
        <is>
          <t>Migration 0503 adds the missing created_at with ADD COLUMN IF NOT EXISTS — the right instrument because the two CREATE TABLE files disagree about history and this converges both without needing to know which ran. The column is documented as 'not before this migration' rather than pretending its backfilled now() is authoritative for historical rows. Neither original file is edited: editing an applied migration changes nothing on a database that already ran it. Plus scripts/db/check-schema-drift.js in CI. Its first version compared table names GLOBALLY and reported 4 conflicts, 3 of them false — tenant and platform are separate databases that legitimately share ai_vendor_credential, ai_document and ai_chunk. Scoped per database it reports exactly the one real conflict, and it recognises a later ALTER as the resolution so it does not stay red forever after the fix. Proven both ways: red with 0503 reverted, green with it restored.</t>
        </is>
      </c>
    </row>
    <row r="41" ht="15" customHeight="1" s="25">
      <c r="A41" s="27" t="inlineStr">
        <is>
          <t>DI-3.5</t>
        </is>
      </c>
      <c r="B41" s="28" t="inlineStr">
        <is>
          <t>Data Integrity</t>
        </is>
      </c>
      <c r="C41" s="28" t="inlineStr">
        <is>
          <t>No migration is reversible; no down concept exists in the tooling</t>
        </is>
      </c>
      <c r="D41" s="32" t="inlineStr">
        <is>
          <t>High</t>
        </is>
      </c>
      <c r="E41" s="28" t="inlineStr">
        <is>
          <t>Policy</t>
        </is>
      </c>
      <c r="F41" s="35" t="inlineStr">
        <is>
          <t>Partially fixed</t>
        </is>
      </c>
      <c r="G41" s="28" t="inlineStr">
        <is>
          <t>As reported</t>
        </is>
      </c>
      <c r="H41" s="28" t="inlineStr">
        <is>
          <t>New migrations must declare -- DOWN or -- IRREVERSIBLE (CI gate). The 92 pre-existing migrations are still irreversible and deliberately not retro-fitted.</t>
        </is>
      </c>
    </row>
    <row r="42" ht="15" customHeight="1" s="25">
      <c r="A42" s="27" t="inlineStr">
        <is>
          <t>DI-5.3</t>
        </is>
      </c>
      <c r="B42" s="28" t="inlineStr">
        <is>
          <t>Data Integrity</t>
        </is>
      </c>
      <c r="C42" s="28" t="inlineStr">
        <is>
          <t>Receipt allocation reads unlocked and can over-allocate</t>
        </is>
      </c>
      <c r="D42" s="32" t="inlineStr">
        <is>
          <t>High</t>
        </is>
      </c>
      <c r="E42" s="28" t="inlineStr">
        <is>
          <t>Code + constraint</t>
        </is>
      </c>
      <c r="F42" s="30" t="inlineStr">
        <is>
          <t>Fixed</t>
        </is>
      </c>
      <c r="G42" s="31" t="inlineStr">
        <is>
          <t>Verified in code</t>
        </is>
      </c>
      <c r="H42" s="28" t="inlineStr">
        <is>
          <t>repo.openInvoices({forUpdate}) locks the invoice rows in the same order the FIFO allocation walks them (oldest first — also a consistent lock order, so two concurrent receipts cannot deadlock). Only post(), which writes allocations, locks; the read-only callers do not. Over-allocation made outstanding negative, which then HID the invoice from ageing and dunning because the query filters outstanding &gt; 0.</t>
        </is>
      </c>
    </row>
    <row r="43" ht="15" customHeight="1" s="25">
      <c r="A43" s="27" t="inlineStr">
        <is>
          <t>DI-5.4</t>
        </is>
      </c>
      <c r="B43" s="28" t="inlineStr">
        <is>
          <t>Data Integrity</t>
        </is>
      </c>
      <c r="C43" s="28" t="inlineStr">
        <is>
          <t>Tax-code supersession splits across two transactions</t>
        </is>
      </c>
      <c r="D43" s="32" t="inlineStr">
        <is>
          <t>High</t>
        </is>
      </c>
      <c r="E43" s="28" t="inlineStr">
        <is>
          <t>Code, quick</t>
        </is>
      </c>
      <c r="F43" s="30" t="inlineStr">
        <is>
          <t>Fixed</t>
        </is>
      </c>
      <c r="G43" s="31" t="inlineStr">
        <is>
          <t>Verified in code</t>
        </is>
      </c>
      <c r="H43" s="28" t="inlineStr">
        <is>
          <t>supersedeCode wraps expire + addCode in one transaction via atomically(); addCode joins rather than opening its own. Previously the expiry COMMITTED before the replacement was attempted, so a bad rate left NO row effective from that date — and every invoice from that date forward failed to post until someone inserted it by hand.</t>
        </is>
      </c>
    </row>
    <row r="44" ht="15" customHeight="1" s="25">
      <c r="A44" s="27" t="inlineStr">
        <is>
          <t>DI-6.2</t>
        </is>
      </c>
      <c r="B44" s="28" t="inlineStr">
        <is>
          <t>Data Integrity</t>
        </is>
      </c>
      <c r="C44" s="28" t="inlineStr">
        <is>
          <t>Audit tamper-evidence chain declared but before_hash/after_hash never populated</t>
        </is>
      </c>
      <c r="D44" s="32" t="inlineStr">
        <is>
          <t>High</t>
        </is>
      </c>
      <c r="E44" s="28" t="inlineStr">
        <is>
          <t>Code, quick</t>
        </is>
      </c>
      <c r="F44" s="28" t="inlineStr">
        <is>
          <t>Fixed</t>
        </is>
      </c>
      <c r="G44" s="28" t="inlineStr">
        <is>
          <t>Verified</t>
        </is>
      </c>
      <c r="H44" s="28" t="inlineStr">
        <is>
          <t>0499: ledger_chain_hash() BEFORE INSERT trigger on immutable_ledger writes before_hash (previous row's after_hash) and after_hash (sha256 over the row + the chain). Computed in the database, not the application - the whole finding is that one call site forgot, and a trigger cannot be skipped by a write that bypasses the service layer. pgcrypto confirmed present for digest().</t>
        </is>
      </c>
    </row>
    <row r="45" ht="15" customHeight="1" s="25">
      <c r="A45" s="27" t="inlineStr">
        <is>
          <t>DI-6.3</t>
        </is>
      </c>
      <c r="B45" s="28" t="inlineStr">
        <is>
          <t>Data Integrity</t>
        </is>
      </c>
      <c r="C45" s="28" t="inlineStr">
        <is>
          <t>Financial and inventory mutations audited inconsistently; depends on service discipline</t>
        </is>
      </c>
      <c r="D45" s="32" t="inlineStr">
        <is>
          <t>High</t>
        </is>
      </c>
      <c r="E45" s="28" t="inlineStr">
        <is>
          <t>Code + triggers</t>
        </is>
      </c>
      <c r="F45" s="28" t="inlineStr">
        <is>
          <t>Fixed</t>
        </is>
      </c>
      <c r="G45" s="28" t="inlineStr">
        <is>
          <t>Verified</t>
        </is>
      </c>
      <c r="H45" s="28" t="inlineStr">
        <is>
          <t>crud/resource.js archive passed `before` only, so the ledger could not say whether a record was deactivated or deleted. Now passes `after` too: null on a hard delete, the re-read row when there is an activeColumn. emit.audit already accepted `after` (used by create/update); archive was the outlier.</t>
        </is>
      </c>
    </row>
    <row r="46" ht="15" customHeight="1" s="25">
      <c r="A46" s="27" t="inlineStr">
        <is>
          <t>DI-6.4</t>
        </is>
      </c>
      <c r="B46" s="28" t="inlineStr">
        <is>
          <t>Data Integrity</t>
        </is>
      </c>
      <c r="C46" s="28" t="inlineStr">
        <is>
          <t>stock_movement is mutable, cascade-deleted, and can be incomplete - no audit trail</t>
        </is>
      </c>
      <c r="D46" s="32" t="inlineStr">
        <is>
          <t>High</t>
        </is>
      </c>
      <c r="E46" s="28" t="inlineStr">
        <is>
          <t>Migration</t>
        </is>
      </c>
      <c r="F46" s="28" t="inlineStr">
        <is>
          <t>Fixed</t>
        </is>
      </c>
      <c r="G46" s="28" t="inlineStr">
        <is>
          <t>Verified</t>
        </is>
      </c>
      <c r="H46" s="28" t="inlineStr">
        <is>
          <t>0499: trg_stock_movement_ro BEFORE UPDATE OR DELETE ... forbid_mutation() on stock_movement. inventory.repo.js calls it an append-only journal; it had no such trigger, unlike event_log and immutable_ledger. 0498 stopped the cascade delete, this stops direct mutation.</t>
        </is>
      </c>
    </row>
    <row r="47" ht="15" customHeight="1" s="25">
      <c r="A47" s="27" t="inlineStr">
        <is>
          <t>DI-7.1</t>
        </is>
      </c>
      <c r="B47" s="28" t="inlineStr">
        <is>
          <t>Data Integrity</t>
        </is>
      </c>
      <c r="C47" s="28" t="inlineStr">
        <is>
          <t>Missing uniqueness on document numbers and payment allocations</t>
        </is>
      </c>
      <c r="D47" s="32" t="inlineStr">
        <is>
          <t>High</t>
        </is>
      </c>
      <c r="E47" s="28" t="inlineStr">
        <is>
          <t>Migration + dedupe</t>
        </is>
      </c>
      <c r="F47" s="30" t="inlineStr">
        <is>
          <t>Fixed</t>
        </is>
      </c>
      <c r="G47" s="31" t="inlineStr">
        <is>
          <t>Verified in code</t>
        </is>
      </c>
      <c r="H47" s="28" t="inlineStr">
        <is>
          <t>0497: UNIQUE (receipt_id, invoice_id) on payment_allocation — the same receipt could be allocated to one invoice twice. Plus the doc_number indexes in 0498.</t>
        </is>
      </c>
    </row>
    <row r="48" ht="15" customHeight="1" s="25">
      <c r="A48" s="27" t="inlineStr">
        <is>
          <t>DI-1.4</t>
        </is>
      </c>
      <c r="B48" s="28" t="inlineStr">
        <is>
          <t>Data Integrity</t>
        </is>
      </c>
      <c r="C48" s="28" t="inlineStr">
        <is>
          <t>currency typing inconsistent - 8 columns FK to currency(code), 9 identical ones do not</t>
        </is>
      </c>
      <c r="D48" s="33" t="inlineStr">
        <is>
          <t>Medium</t>
        </is>
      </c>
      <c r="E48" s="28" t="inlineStr">
        <is>
          <t>Migration</t>
        </is>
      </c>
      <c r="F48" s="28" t="inlineStr">
        <is>
          <t>Fixed</t>
        </is>
      </c>
      <c r="G48" s="28" t="inlineStr">
        <is>
          <t>Verified</t>
        </is>
      </c>
      <c r="H48" s="28" t="inlineStr">
        <is>
          <t>0499: FK to currency(code) added on the 7 char(3)/text currency columns that lacked one - dictionary_item, expense_rate, tax_jurisdiction, journal_line, treasury_account, invoice, costing. journal_line was in the unconstrained set, i.e. the ledger itself. NOT VALID so a historical bad code cannot fail the migration; VALIDATE after probing.</t>
        </is>
      </c>
    </row>
    <row r="49" ht="15" customHeight="1" s="25">
      <c r="A49" s="27" t="inlineStr">
        <is>
          <t>DI-1.5</t>
        </is>
      </c>
      <c r="B49" s="28" t="inlineStr">
        <is>
          <t>Data Integrity</t>
        </is>
      </c>
      <c r="C49" s="28" t="inlineStr">
        <is>
          <t>chart_of_accounts and other self-referencing hierarchies have no cycle guard</t>
        </is>
      </c>
      <c r="D49" s="33" t="inlineStr">
        <is>
          <t>Medium</t>
        </is>
      </c>
      <c r="E49" s="28" t="inlineStr">
        <is>
          <t>Migration</t>
        </is>
      </c>
      <c r="F49" s="30" t="inlineStr">
        <is>
          <t>Fixed</t>
        </is>
      </c>
      <c r="G49" s="31" t="inlineStr">
        <is>
          <t>Verified in code</t>
        </is>
      </c>
      <c r="H49" s="28" t="inlineStr">
        <is>
          <t>0497: chart_of_accounts cannot be its own parent — a row made its own parent spun every recursive walk.</t>
        </is>
      </c>
    </row>
    <row r="50" ht="15" customHeight="1" s="25">
      <c r="A50" s="27" t="inlineStr">
        <is>
          <t>DI-2.3</t>
        </is>
      </c>
      <c r="B50" s="28" t="inlineStr">
        <is>
          <t>Data Integrity</t>
        </is>
      </c>
      <c r="C50" s="28" t="inlineStr">
        <is>
          <t>No ON UPDATE clause on any foreign key</t>
        </is>
      </c>
      <c r="D50" s="33" t="inlineStr">
        <is>
          <t>Medium</t>
        </is>
      </c>
      <c r="E50" s="28" t="inlineStr">
        <is>
          <t>Decision</t>
        </is>
      </c>
      <c r="F50" s="28" t="inlineStr">
        <is>
          <t>Fixed</t>
        </is>
      </c>
      <c r="G50" s="28" t="inlineStr">
        <is>
          <t>Verified in code</t>
        </is>
      </c>
      <c r="H50" s="48" t="inlineStr">
        <is>
          <t>migrations/tenant/0505, part 2. A DECISION, recorded rather than a behaviour change: ON UPDATE stays NO ACTION on the natural text keys (chart_of_accounts.code, currency.code). The audit's own reading is that this is arguably CORRECT for a statutory chart — a posted OHADA code identifies those postings forever, and ON UPDATE CASCADE would make a rename succeed silently across twelve tables, rewriting the meaning of historical entries with no audit record that the account was ever called anything else. The complaint was that it was undocumented while the COA service exposes edit paths, so a maintainer could not tell a deliberate restriction from an oversight and the next person to hit the FK violation would quite likely 'fix' it with CASCADE. Now a COMMENT ON COLUMN on both, which lives in the database, survives dump/restore, and shows up in \d+.</t>
        </is>
      </c>
    </row>
    <row r="51" ht="15" customHeight="1" s="25">
      <c r="A51" s="27" t="inlineStr">
        <is>
          <t>DI-3.4</t>
        </is>
      </c>
      <c r="B51" s="28" t="inlineStr">
        <is>
          <t>Data Integrity</t>
        </is>
      </c>
      <c r="C51" s="28" t="inlineStr">
        <is>
          <t>Duplicate migration numbers - correctly diagnosed and correctly left alone</t>
        </is>
      </c>
      <c r="D51" s="33" t="inlineStr">
        <is>
          <t>Medium</t>
        </is>
      </c>
      <c r="E51" s="28" t="inlineStr">
        <is>
          <t>Prevention only</t>
        </is>
      </c>
      <c r="F51" s="28" t="inlineStr">
        <is>
          <t>Open</t>
        </is>
      </c>
      <c r="G51" s="28" t="inlineStr">
        <is>
          <t>As reported</t>
        </is>
      </c>
      <c r="H51" s="28" t="n"/>
    </row>
    <row r="52" ht="15" customHeight="1" s="25">
      <c r="A52" s="27" t="inlineStr">
        <is>
          <t>DI-3.6</t>
        </is>
      </c>
      <c r="B52" s="28" t="inlineStr">
        <is>
          <t>Data Integrity</t>
        </is>
      </c>
      <c r="C52" s="28" t="inlineStr">
        <is>
          <t>EXCEPTION WHEN OTHERS THEN NULL in data-seeding migrations 0467/0468</t>
        </is>
      </c>
      <c r="D52" s="33" t="inlineStr">
        <is>
          <t>Medium</t>
        </is>
      </c>
      <c r="E52" s="28" t="inlineStr">
        <is>
          <t>Forward-fix</t>
        </is>
      </c>
      <c r="F52" s="28" t="inlineStr">
        <is>
          <t>Fixed</t>
        </is>
      </c>
      <c r="G52" s="28" t="inlineStr">
        <is>
          <t>Verified in code</t>
        </is>
      </c>
      <c r="H52" s="48" t="inlineStr">
        <is>
          <t>migrations/tenant/0506_leave_approval_repair.sql. 0467/0468 end their DO blocks with EXCEPTION WHEN OTHERS THEN NULL, so any failure was discarded and the migration recorded SUCCESS — leaving the tenant with no leave-approval workflow, which makes executor.start() return autoApproved, the calling module discard that flag, and the request sit forever without being rejected or queued (W8/W11). Not editable in place: the migrator keys the ledger on filename (DATA 3.1) and both are applied everywhere, so only a new file reaches an affected tenant — the same reasoning 0492 gives for the identical defect in 0469. Takes 0492's treatment: idempotent (no-op where 0467/0468 worked), narrow exception scope, and RAISE WARNING naming the schema, the SQLSTATE and the consequence instead of silence. Still non-fatal — a convenience seed must not block a deploy — but never again invisible. Reports how many missing approval tasks it opened.</t>
        </is>
      </c>
    </row>
    <row r="53" ht="15" customHeight="1" s="25">
      <c r="A53" s="27" t="inlineStr">
        <is>
          <t>DI-4.1</t>
        </is>
      </c>
      <c r="B53" s="28" t="inlineStr">
        <is>
          <t>Data Integrity</t>
        </is>
      </c>
      <c r="C53" s="28" t="inlineStr">
        <is>
          <t>The RLS apparatus references a migration that does not exist</t>
        </is>
      </c>
      <c r="D53" s="33" t="inlineStr">
        <is>
          <t>Medium</t>
        </is>
      </c>
      <c r="E53" s="28" t="inlineStr">
        <is>
          <t>Remove or implement</t>
        </is>
      </c>
      <c r="F53" s="30" t="inlineStr">
        <is>
          <t>Fixed</t>
        </is>
      </c>
      <c r="G53" s="31" t="inlineStr">
        <is>
          <t>Verified in code</t>
        </is>
      </c>
      <c r="H53" s="28" t="inlineStr">
        <is>
          <t>The RLS apparatus is gone: RLS_READ_ENFORCE, queryWithContext, and the superuser warning. Confirmed zero CREATE POLICY / ROW LEVEL SECURITY anywhere in migrations/ — it set a GUC for policies that do not exist, costing a round-trip per read and filtering nothing while reading as though isolation were on.</t>
        </is>
      </c>
    </row>
    <row r="54" ht="15" customHeight="1" s="25">
      <c r="A54" s="27" t="inlineStr">
        <is>
          <t>DI-4.2</t>
        </is>
      </c>
      <c r="B54" s="28" t="inlineStr">
        <is>
          <t>Data Integrity</t>
        </is>
      </c>
      <c r="C54" s="28" t="inlineStr">
        <is>
          <t>32 references to a non-existent shared.* schema</t>
        </is>
      </c>
      <c r="D54" s="33" t="inlineStr">
        <is>
          <t>Medium</t>
        </is>
      </c>
      <c r="E54" s="28" t="inlineStr">
        <is>
          <t>Remove</t>
        </is>
      </c>
      <c r="F54" s="30" t="inlineStr">
        <is>
          <t>Fixed</t>
        </is>
      </c>
      <c r="G54" s="31" t="inlineStr">
        <is>
          <t>Verified in code</t>
        </is>
      </c>
      <c r="H54" s="28" t="inlineStr">
        <is>
          <t>services/numbering.service.js and services/notifications.service.js deleted (verified zero importers each). push.service.js's `shared.push_subscription` fallback removed — the schema has never existed, so the branch could only ever return 'no table', and its sole caller was one of the deleted files.</t>
        </is>
      </c>
    </row>
    <row r="55" ht="15" customHeight="1" s="25">
      <c r="A55" s="27" t="inlineStr">
        <is>
          <t>DI-5.6</t>
        </is>
      </c>
      <c r="B55" s="28" t="inlineStr">
        <is>
          <t>Data Integrity</t>
        </is>
      </c>
      <c r="C55" s="28" t="inlineStr">
        <is>
          <t>Tenant provisioning and sandbox wipe are not transactional</t>
        </is>
      </c>
      <c r="D55" s="33" t="inlineStr">
        <is>
          <t>Medium</t>
        </is>
      </c>
      <c r="E55" s="28" t="inlineStr">
        <is>
          <t>Code</t>
        </is>
      </c>
      <c r="F55" s="28" t="inlineStr">
        <is>
          <t>Fixed</t>
        </is>
      </c>
      <c r="G55" s="28" t="inlineStr">
        <is>
          <t>Verified in code</t>
        </is>
      </c>
      <c r="H55" s="48" t="inlineStr">
        <is>
          <t>provisionTenant's five platform writes (tenant upsert, tenant_database, subdomain, status='LIVE', audit) ran on a bare client with no BEGIN, each autocommitting, so a failure part-way left a tenant registered with no database row or no subdomain, or stuck in PROVISIONING with its schema fully built and nothing routing to it — every one needing a human to unpick. Now one transaction with ROLLBACK on failure (and a failed ROLLBACK never masks the original error). The tenant DATABASE stays deliberately outside it and the code says why: CREATE DATABASE cannot participate in a transaction on another connection, and the asymmetry is the right way round — an orphaned database with no platform row is inert and re-provisioning is idempotent, whereas a platform row pointing at a database that does not exist routes live traffic into a 500. wipeSandbox likewise: DROP SCHEMA -&gt; CREATE -&gt; ledger DELETE -&gt; re-apply -&gt; mirror is now atomic, and Postgres CAN roll those back, so a crash mid-rebuild no longer leaves a tenant with NO sandbox schema and a ledger claiming the scopes were applied (which made self-healing impossible). Verified by the tenant-provisioning tests, including the tripwire this batch deliberately left behind: the test that asserted the OLD non-transactional behaviour failed on the fix and was rewritten to assert the new one, plus rollback and no-re-projection cases.</t>
        </is>
      </c>
    </row>
    <row r="56" ht="15" customHeight="1" s="25">
      <c r="A56" s="27" t="inlineStr">
        <is>
          <t>DI-6.5</t>
        </is>
      </c>
      <c r="B56" s="28" t="inlineStr">
        <is>
          <t>Data Integrity</t>
        </is>
      </c>
      <c r="C56" s="28" t="inlineStr">
        <is>
          <t>Silent overwrite of financial figures; locked documents protected only in the service layer</t>
        </is>
      </c>
      <c r="D56" s="33" t="inlineStr">
        <is>
          <t>Medium</t>
        </is>
      </c>
      <c r="E56" s="28" t="inlineStr">
        <is>
          <t>Migration</t>
        </is>
      </c>
      <c r="F56" s="28" t="inlineStr">
        <is>
          <t>Fixed</t>
        </is>
      </c>
      <c r="G56" s="28" t="inlineStr">
        <is>
          <t>Verified</t>
        </is>
      </c>
      <c r="H56" s="28" t="inlineStr">
        <is>
          <t>0499: protect_locked_document() freezes the money fields on invoice/costing/quotation/supplier_invoice once the status is locked, while leaving workflow fields (status, attestation, review) editable. Immutability rested entirely on service-level status checks before - a direct UPDATE on a POSTED_LOCKED invoice succeeded.</t>
        </is>
      </c>
    </row>
    <row r="57" ht="15" customHeight="1" s="25">
      <c r="A57" s="27" t="inlineStr">
        <is>
          <t>DI-7.2</t>
        </is>
      </c>
      <c r="B57" s="28" t="inlineStr">
        <is>
          <t>Data Integrity</t>
        </is>
      </c>
      <c r="C57" s="28" t="inlineStr">
        <is>
          <t>Missing indexes on columns that gate correctness-critical queries</t>
        </is>
      </c>
      <c r="D57" s="33" t="inlineStr">
        <is>
          <t>Medium</t>
        </is>
      </c>
      <c r="E57" s="28" t="inlineStr">
        <is>
          <t>Migration, online</t>
        </is>
      </c>
      <c r="F57" s="28" t="inlineStr">
        <is>
          <t>Fixed</t>
        </is>
      </c>
      <c r="G57" s="28" t="inlineStr">
        <is>
          <t>Verified in code</t>
        </is>
      </c>
      <c r="H57" s="48" t="inlineStr">
        <is>
          <t>migrations/tenant/0504, part 1. Seven composite indexes on columns that gate correctness-critical queries: invoice(status,type), payment_allocation(invoice_id), journal_line(account_code,entry_id), journal_entry(entity_id,period_id,status), stock_movement(inventory_item_id,moved_at DESC), depreciation_schedule(asset_id,posted), and accounting_period(entity_id,starts_on,ends_on) — that last backs getPeriodForDate, which runs on EVERY journal post and had no supporting index at all. Plain CREATE INDEX IF NOT EXISTS, not CONCURRENTLY, for the reason 0496/0500 already document (the migrator sends each file as one multi-statement simple query, which Postgres wraps in an implicit transaction where CONCURRENTLY cannot run). Rollback stated in the header. VERIFIED BY PARSING ONLY — see the note on 0505.</t>
        </is>
      </c>
    </row>
    <row r="58" ht="15" customHeight="1" s="25">
      <c r="A58" s="27" t="inlineStr">
        <is>
          <t>DI-1.7</t>
        </is>
      </c>
      <c r="B58" s="28" t="inlineStr">
        <is>
          <t>Data Integrity</t>
        </is>
      </c>
      <c r="C58" s="28" t="inlineStr">
        <is>
          <t>The section 23.14 dictionary invariant is one-directional</t>
        </is>
      </c>
      <c r="D58" s="34" t="inlineStr">
        <is>
          <t>Low</t>
        </is>
      </c>
      <c r="E58" s="28" t="inlineStr">
        <is>
          <t>Migration</t>
        </is>
      </c>
      <c r="F58" s="28" t="inlineStr">
        <is>
          <t>Fixed</t>
        </is>
      </c>
      <c r="G58" s="28" t="inlineStr">
        <is>
          <t>Verified in code</t>
        </is>
      </c>
      <c r="H58" s="48" t="inlineStr">
        <is>
          <t>migrations/tenant/0505, part 1. The KB §23.14 invariant ('a dictionary item cannot exist without at least one complete posting rule') was enforced by a constraint trigger AFTER INSERT ON dictionary_item only — it stopped you creating a rule-less item and did nothing about deleting the last rule out from under one that already existed. Consequence is not cosmetic: an item with no posting rule has no account to post to, so a costing line referencing it fails at posting time, long after the delete, in a different module, with an error naming neither. Closed from the other side with a DEFERRABLE constraint trigger AFTER DELETE OR UPDATE on posting_rule. DEFERRABLE matching 0200, so a legitimate replace-all-rules transaction still works — the check runs at COMMIT. AFTER UPDATE too, because re-pointing a rule's dictionary_item_id orphans the old item just as surely as deleting it. Skips the check when the item itself is gone, since deleting an item with its rules is legitimate.</t>
        </is>
      </c>
    </row>
    <row r="59" ht="15" customHeight="1" s="25">
      <c r="A59" s="27" t="inlineStr">
        <is>
          <t>OBS-A2</t>
        </is>
      </c>
      <c r="B59" s="28" t="inlineStr">
        <is>
          <t>Observability</t>
        </is>
      </c>
      <c r="C59" s="28" t="inlineStr">
        <is>
          <t>The health check is structurally incapable of failing - and it is the deploy gate</t>
        </is>
      </c>
      <c r="D59" s="29" t="inlineStr">
        <is>
          <t>Critical</t>
        </is>
      </c>
      <c r="E59" s="28" t="inlineStr">
        <is>
          <t>Quick win</t>
        </is>
      </c>
      <c r="F59" s="30" t="inlineStr">
        <is>
          <t>Fixed</t>
        </is>
      </c>
      <c r="G59" s="31" t="inlineStr">
        <is>
          <t>Verified in code</t>
        </is>
      </c>
      <c r="H59" s="28" t="inlineStr">
        <is>
          <t>/api/health/ready probes Postgres+Redis, 503s honestly. Verified with the DB down.</t>
        </is>
      </c>
    </row>
    <row r="60" ht="15" customHeight="1" s="25">
      <c r="A60" s="27" t="inlineStr">
        <is>
          <t>OBS-A1</t>
        </is>
      </c>
      <c r="B60" s="28" t="inlineStr">
        <is>
          <t>Observability</t>
        </is>
      </c>
      <c r="C60" s="28" t="inlineStr">
        <is>
          <t>There is no alerting. At all.</t>
        </is>
      </c>
      <c r="D60" s="29" t="inlineStr">
        <is>
          <t>Critical</t>
        </is>
      </c>
      <c r="E60" s="28" t="inlineStr">
        <is>
          <t>Quick win</t>
        </is>
      </c>
      <c r="F60" s="30" t="inlineStr">
        <is>
          <t>Fixed</t>
        </is>
      </c>
      <c r="G60" s="31" t="inlineStr">
        <is>
          <t>Verified in code</t>
        </is>
      </c>
      <c r="H60" s="28" t="inlineStr">
        <is>
          <t>Repo side wired + loud boot warning. MONITOR AND WEBHOOK CONFIGURED BY OWNER 2026-08-04.</t>
        </is>
      </c>
    </row>
    <row r="61" ht="15" customHeight="1" s="25">
      <c r="A61" s="27" t="inlineStr">
        <is>
          <t>OBS-A3</t>
        </is>
      </c>
      <c r="B61" s="28" t="inlineStr">
        <is>
          <t>Observability</t>
        </is>
      </c>
      <c r="C61" s="28" t="inlineStr">
        <is>
          <t>Redis outage boots the app silently degraded</t>
        </is>
      </c>
      <c r="D61" s="29" t="inlineStr">
        <is>
          <t>Critical</t>
        </is>
      </c>
      <c r="E61" s="28" t="inlineStr">
        <is>
          <t>Quick win</t>
        </is>
      </c>
      <c r="F61" s="30" t="inlineStr">
        <is>
          <t>Fixed</t>
        </is>
      </c>
      <c r="G61" s="31" t="inlineStr">
        <is>
          <t>Verified in code</t>
        </is>
      </c>
      <c r="H61" s="28" t="inlineStr">
        <is>
          <t>Redis boot failure is now ERROR + a fatal report naming exactly what degrades (sessions, rate limiting, identity cache, socket.io pub-sub, ALL job enqueueing), and readiness reports it. Still non-fatal — refusing to boot would turn a degraded cache into a total outage.</t>
        </is>
      </c>
    </row>
    <row r="62" ht="15" customHeight="1" s="25">
      <c r="A62" s="27" t="inlineStr">
        <is>
          <t>OBS-A6</t>
        </is>
      </c>
      <c r="B62" s="28" t="inlineStr">
        <is>
          <t>Observability</t>
        </is>
      </c>
      <c r="C62" s="28" t="inlineStr">
        <is>
          <t>Dead-lettered business events are a silent black hole</t>
        </is>
      </c>
      <c r="D62" s="29" t="inlineStr">
        <is>
          <t>Critical</t>
        </is>
      </c>
      <c r="E62" s="28" t="inlineStr">
        <is>
          <t>Medium</t>
        </is>
      </c>
      <c r="F62" s="30" t="inlineStr">
        <is>
          <t>Fixed</t>
        </is>
      </c>
      <c r="G62" s="31" t="inlineStr">
        <is>
          <t>Verified in code</t>
        </is>
      </c>
      <c r="H62" s="28" t="inlineStr">
        <is>
          <t>DEAD is now distinguishable from FAILED (error + report vs warn), countDeadLetters() is the query that never existed, the worker sweep runs a census every pass and notifies on a new death then daily while a backlog stands, and /api/health/ready exposes dead_letters per tenant (degraded, not 503 — dropped events are a business failure, not a deploy blocker). 17 assertions incl. 'a retriable failure must NOT notify' and 'a census failure must not fail the drain'.</t>
        </is>
      </c>
    </row>
    <row r="63" ht="15" customHeight="1" s="25">
      <c r="A63" s="27" t="inlineStr">
        <is>
          <t>OBS-E1</t>
        </is>
      </c>
      <c r="B63" s="28" t="inlineStr">
        <is>
          <t>Observability</t>
        </is>
      </c>
      <c r="C63" s="28" t="inlineStr">
        <is>
          <t>No centralised error tracking of any kind</t>
        </is>
      </c>
      <c r="D63" s="29" t="inlineStr">
        <is>
          <t>Critical</t>
        </is>
      </c>
      <c r="E63" s="28" t="inlineStr">
        <is>
          <t>Medium</t>
        </is>
      </c>
      <c r="F63" s="30" t="inlineStr">
        <is>
          <t>Fixed</t>
        </is>
      </c>
      <c r="G63" s="31" t="inlineStr">
        <is>
          <t>Verified in code</t>
        </is>
      </c>
      <c r="H63" s="28" t="inlineStr">
        <is>
          <t>shared/observability/error-reporter.js — every 5xx, uncaughtException and unhandledRejection reports with tenant/user/request_id/route/build. Dedupe + id normalisation + frame-drift stability + 20/min ceiling so the channel stays usable. 4xx and ZodError never reported. Commit e78a566.</t>
        </is>
      </c>
    </row>
    <row r="64" ht="15" customHeight="1" s="25">
      <c r="A64" s="27" t="inlineStr">
        <is>
          <t>OBS-E2</t>
        </is>
      </c>
      <c r="B64" s="28" t="inlineStr">
        <is>
          <t>Observability</t>
        </is>
      </c>
      <c r="C64" s="28" t="inlineStr">
        <is>
          <t>Frontend errors are completely invisible</t>
        </is>
      </c>
      <c r="D64" s="29" t="inlineStr">
        <is>
          <t>Critical</t>
        </is>
      </c>
      <c r="E64" s="28" t="inlineStr">
        <is>
          <t>Quick win</t>
        </is>
      </c>
      <c r="F64" s="30" t="inlineStr">
        <is>
          <t>Fixed</t>
        </is>
      </c>
      <c r="G64" s="31" t="inlineStr">
        <is>
          <t>Verified in code</t>
        </is>
      </c>
      <c r="H64" s="28" t="inlineStr">
        <is>
          <t>POST /api/client-errors + client/src/lib/error-reporting.ts covering render, window 'error' and unhandledrejection. ErrorBoundary's dead onError hook now reports by default. sendBeacon survives the post-crash reload. Commit e78a566.</t>
        </is>
      </c>
    </row>
    <row r="65" ht="15" customHeight="1" s="25">
      <c r="A65" s="27" t="inlineStr">
        <is>
          <t>OBS-L1</t>
        </is>
      </c>
      <c r="B65" s="28" t="inlineStr">
        <is>
          <t>Observability</t>
        </is>
      </c>
      <c r="C65" s="28" t="inlineStr">
        <is>
          <t>No HTTP access log exists at all - pino-http is a dependency, mounted nowhere</t>
        </is>
      </c>
      <c r="D65" s="29" t="inlineStr">
        <is>
          <t>Critical</t>
        </is>
      </c>
      <c r="E65" s="28" t="inlineStr">
        <is>
          <t>Quick win</t>
        </is>
      </c>
      <c r="F65" s="30" t="inlineStr">
        <is>
          <t>Fixed</t>
        </is>
      </c>
      <c r="G65" s="31" t="inlineStr">
        <is>
          <t>Verified in code</t>
        </is>
      </c>
      <c r="H65" s="28" t="inlineStr">
        <is>
          <t>pino-http mounted.</t>
        </is>
      </c>
    </row>
    <row r="66" ht="15" customHeight="1" s="25">
      <c r="A66" s="27" t="inlineStr">
        <is>
          <t>OBS-L2</t>
        </is>
      </c>
      <c r="B66" s="28" t="inlineStr">
        <is>
          <t>Observability</t>
        </is>
      </c>
      <c r="C66" s="28" t="inlineStr">
        <is>
          <t>The money path is entirely log-silent - zero logger calls in finance or accounting</t>
        </is>
      </c>
      <c r="D66" s="29" t="inlineStr">
        <is>
          <t>Critical</t>
        </is>
      </c>
      <c r="E66" s="28" t="inlineStr">
        <is>
          <t>Medium</t>
        </is>
      </c>
      <c r="F66" s="28" t="inlineStr">
        <is>
          <t>Fixed</t>
        </is>
      </c>
      <c r="G66" s="28" t="inlineStr">
        <is>
          <t>Verified</t>
        </is>
      </c>
      <c r="H66" s="28" t="inlineStr">
        <is>
          <t>New shared/observability/money-log.js (moneyOk/moneyFail/withMoneyLog): one uniform event shape so 'every failed posting for this tenant today' is a filter, not a grep. Wired at journal_entry.post and .reverse (the funnel every posting goes through - determination.postDocument, invoices, receipts, credit notes, depreciation) plus the five document boundaries: invoice.posted, credit_note.posted, receipt.posted, tax_declaration.approved, period.closed. Failures log at error with err_code. Proven: lines carry tenant, user_id, request_id from the existing pino mixin, money_event, outcome, and normalised numeric amounts; the error is rethrown unchanged. Amounts and ids only - no client names or emails (OBS-L4 is a live finding about exactly that).</t>
        </is>
      </c>
    </row>
    <row r="67" ht="15" customHeight="1" s="25">
      <c r="A67" s="27" t="inlineStr">
        <is>
          <t>OBS-L3</t>
        </is>
      </c>
      <c r="B67" s="28" t="inlineStr">
        <is>
          <t>Observability</t>
        </is>
      </c>
      <c r="C67" s="28" t="inlineStr">
        <is>
          <t>Almost no log line carries tenant or user, though AsyncLocalStorage already holds both</t>
        </is>
      </c>
      <c r="D67" s="29" t="inlineStr">
        <is>
          <t>Critical</t>
        </is>
      </c>
      <c r="E67" s="28" t="inlineStr">
        <is>
          <t>Quick win</t>
        </is>
      </c>
      <c r="F67" s="30" t="inlineStr">
        <is>
          <t>Fixed</t>
        </is>
      </c>
      <c r="G67" s="31" t="inlineStr">
        <is>
          <t>Verified in code</t>
        </is>
      </c>
      <c r="H67" s="28" t="inlineStr">
        <is>
          <t>pino mixin injects tenant+user into ALL ~120 call sites with zero edits; auth.js back-fills the user the context captured as null.</t>
        </is>
      </c>
    </row>
    <row r="68" ht="15" customHeight="1" s="25">
      <c r="A68" s="27" t="inlineStr">
        <is>
          <t>OBS-M1</t>
        </is>
      </c>
      <c r="B68" s="28" t="inlineStr">
        <is>
          <t>Observability</t>
        </is>
      </c>
      <c r="C68" s="28" t="inlineStr">
        <is>
          <t>No metrics of any kind, no dashboard, no baseline</t>
        </is>
      </c>
      <c r="D68" s="29" t="inlineStr">
        <is>
          <t>Critical</t>
        </is>
      </c>
      <c r="E68" s="28" t="inlineStr">
        <is>
          <t>Medium</t>
        </is>
      </c>
      <c r="F68" s="30" t="inlineStr">
        <is>
          <t>Fixed</t>
        </is>
      </c>
      <c r="G68" s="31" t="inlineStr">
        <is>
          <t>Verified in code</t>
        </is>
      </c>
      <c r="H68" s="28" t="inlineStr">
        <is>
          <t>shared/observability/metrics.js + GET /api/metrics (Prometheus text). HTTP/db/job/auth/rbac counters and duration histograms. Hand-rolled, no new dependency; routes templated so uuids cannot explode cardinality. METRICS_TOKEN guards it when set.</t>
        </is>
      </c>
    </row>
    <row r="69" ht="15" customHeight="1" s="25">
      <c r="A69" s="27" t="inlineStr">
        <is>
          <t>OBS-T1</t>
        </is>
      </c>
      <c r="B69" s="28" t="inlineStr">
        <is>
          <t>Observability</t>
        </is>
      </c>
      <c r="C69" s="28" t="inlineStr">
        <is>
          <t>Reconstructing one failed request is effectively impossible</t>
        </is>
      </c>
      <c r="D69" s="29" t="inlineStr">
        <is>
          <t>Critical</t>
        </is>
      </c>
      <c r="E69" s="28" t="inlineStr">
        <is>
          <t>Phases 2+4</t>
        </is>
      </c>
      <c r="F69" s="28" t="inlineStr">
        <is>
          <t>Fixed</t>
        </is>
      </c>
      <c r="G69" s="28" t="inlineStr">
        <is>
          <t>Verified</t>
        </is>
      </c>
      <c r="H69" s="28" t="inlineStr">
        <is>
          <t>Step 4 closed by OBS-L2 above. Step 5 closed by migration 0501: request_id on immutable_ledger and event_log, written by shared/events/emit.js from the AsyncLocalStorage context rather than threaded through 300 call sites. Partial indexes (WHERE request_id IS NOT NULL) because the NULLs - every background row, forever - are never the target of the lookup. Nullable with no backfill: a row written by a job or a migration has no request, and inventing one would make the column lie. All six investigation steps in the audit's walkthrough now have an answer.</t>
        </is>
      </c>
    </row>
    <row r="70" ht="15" customHeight="1" s="25">
      <c r="A70" s="27" t="inlineStr">
        <is>
          <t>OBS-I1</t>
        </is>
      </c>
      <c r="B70" s="28" t="inlineStr">
        <is>
          <t>Observability</t>
        </is>
      </c>
      <c r="C70" s="28" t="inlineStr">
        <is>
          <t>No runbook, no on-call, no incident process</t>
        </is>
      </c>
      <c r="D70" s="29" t="inlineStr">
        <is>
          <t>Critical</t>
        </is>
      </c>
      <c r="E70" s="28" t="inlineStr">
        <is>
          <t>Process</t>
        </is>
      </c>
      <c r="F70" s="28" t="inlineStr">
        <is>
          <t>Fixed</t>
        </is>
      </c>
      <c r="G70" s="28" t="inlineStr">
        <is>
          <t>Verified</t>
        </is>
      </c>
      <c r="H70" s="28" t="inlineStr">
        <is>
          <t>New doc/INCIDENT_RUNBOOK.md. Severity table with the rule that anything touching the ledger is SEV-1 until proven otherwise (posted entries are immutable, so a wrong one has to be reversed, and every hour it stands is another hour of reports built on it); escalation with explicit timeouts; a four-question triage that maps onto what the observability work actually made answerable (health/ready fields, tenant on every log line, request_id joining a ledger row back to its request, money_event); and six playbooks — bad deploy, database unreachable, one tenant down, dropped events, wrong books, suspected compromise. Every command and endpoint was verified against the code, which caught four wrong ones in my own draft: rollback.sh takes a positional sha not --to, migrate-tenants has no --dry-run, and the session revoke route is /:id/kill not /:id/revoke. The 'who' table is deliberately left TBD for the owner — an unfilled table is the same failure the document exists to fix, and inventing names would be worse.</t>
        </is>
      </c>
    </row>
    <row r="71" ht="15" customHeight="1" s="25">
      <c r="A71" s="27" t="inlineStr">
        <is>
          <t>OBS-I2</t>
        </is>
      </c>
      <c r="B71" s="28" t="inlineStr">
        <is>
          <t>Observability</t>
        </is>
      </c>
      <c r="C71" s="28" t="inlineStr">
        <is>
          <t>No rollback procedure and no artifact to roll back to</t>
        </is>
      </c>
      <c r="D71" s="29" t="inlineStr">
        <is>
          <t>Critical</t>
        </is>
      </c>
      <c r="E71" s="28" t="inlineStr">
        <is>
          <t>Medium</t>
        </is>
      </c>
      <c r="F71" s="30" t="inlineStr">
        <is>
          <t>Fixed</t>
        </is>
      </c>
      <c r="G71" s="31" t="inlineStr">
        <is>
          <t>Verified in code</t>
        </is>
      </c>
      <c r="H71" s="28" t="inlineStr">
        <is>
          <t>Images tagged by commit and retained; scripts/rollback.sh added.</t>
        </is>
      </c>
    </row>
    <row r="72" ht="15" customHeight="1" s="25">
      <c r="A72" s="27" t="inlineStr">
        <is>
          <t>OBS-A4</t>
        </is>
      </c>
      <c r="B72" s="28" t="inlineStr">
        <is>
          <t>Observability</t>
        </is>
      </c>
      <c r="C72" s="28" t="inlineStr">
        <is>
          <t>No restart: policy on any service</t>
        </is>
      </c>
      <c r="D72" s="32" t="inlineStr">
        <is>
          <t>High</t>
        </is>
      </c>
      <c r="E72" s="28" t="inlineStr">
        <is>
          <t>Quick win</t>
        </is>
      </c>
      <c r="F72" s="30" t="inlineStr">
        <is>
          <t>Fixed</t>
        </is>
      </c>
      <c r="G72" s="31" t="inlineStr">
        <is>
          <t>Verified in code</t>
        </is>
      </c>
      <c r="H72" s="28" t="inlineStr">
        <is>
          <t>restart: unless-stopped on all five services; migrate stays 'no'.</t>
        </is>
      </c>
    </row>
    <row r="73" ht="15" customHeight="1" s="25">
      <c r="A73" s="27" t="inlineStr">
        <is>
          <t>OBS-A5</t>
        </is>
      </c>
      <c r="B73" s="28" t="inlineStr">
        <is>
          <t>Observability</t>
        </is>
      </c>
      <c r="C73" s="28" t="inlineStr">
        <is>
          <t>The worker is entirely unmonitored</t>
        </is>
      </c>
      <c r="D73" s="32" t="inlineStr">
        <is>
          <t>High</t>
        </is>
      </c>
      <c r="E73" s="28" t="inlineStr">
        <is>
          <t>Quick win</t>
        </is>
      </c>
      <c r="F73" s="30" t="inlineStr">
        <is>
          <t>Fixed</t>
        </is>
      </c>
      <c r="G73" s="31" t="inlineStr">
        <is>
          <t>Verified in code</t>
        </is>
      </c>
      <c r="H73" s="28" t="inlineStr">
        <is>
          <t>Worker job start/done now timed, per-queue duration histogram, completed/failed counters and worker-error counter. Liveness is a fact rather than an assumption.</t>
        </is>
      </c>
    </row>
    <row r="74" ht="15" customHeight="1" s="25">
      <c r="A74" s="27" t="inlineStr">
        <is>
          <t>OBS-E3</t>
        </is>
      </c>
      <c r="B74" s="28" t="inlineStr">
        <is>
          <t>Observability</t>
        </is>
      </c>
      <c r="C74" s="28" t="inlineStr">
        <is>
          <t>The correlation ID is minted, then thrown away; persisted nowhere</t>
        </is>
      </c>
      <c r="D74" s="32" t="inlineStr">
        <is>
          <t>High</t>
        </is>
      </c>
      <c r="E74" s="28" t="inlineStr">
        <is>
          <t>Quick / Medium</t>
        </is>
      </c>
      <c r="F74" s="30" t="inlineStr">
        <is>
          <t>Fixed</t>
        </is>
      </c>
      <c r="G74" s="31" t="inlineStr">
        <is>
          <t>Verified in code</t>
        </is>
      </c>
      <c r="H74" s="28" t="inlineStr">
        <is>
          <t>request_id is put into AsyncLocalStorage by tenant-context, emitted on every log line by the mixin, and stamped onto enqueued job payloads. Minted-then-discarded is fixed end to end.</t>
        </is>
      </c>
    </row>
    <row r="75" ht="15" customHeight="1" s="25">
      <c r="A75" s="27" t="inlineStr">
        <is>
          <t>OBS-E4</t>
        </is>
      </c>
      <c r="B75" s="28" t="inlineStr">
        <is>
          <t>Observability</t>
        </is>
      </c>
      <c r="C75" s="28" t="inlineStr">
        <is>
          <t>uncaughtException keeps a poisoned process alive</t>
        </is>
      </c>
      <c r="D75" s="32" t="inlineStr">
        <is>
          <t>High</t>
        </is>
      </c>
      <c r="E75" s="28" t="inlineStr">
        <is>
          <t>Quick win</t>
        </is>
      </c>
      <c r="F75" s="30" t="inlineStr">
        <is>
          <t>Fixed</t>
        </is>
      </c>
      <c r="G75" s="31" t="inlineStr">
        <is>
          <t>Verified in code</t>
        </is>
      </c>
      <c r="H75" s="28" t="inlineStr">
        <is>
          <t>Process now exits on uncaughtException; paired with OBS-A4.</t>
        </is>
      </c>
    </row>
    <row r="76" ht="15" customHeight="1" s="25">
      <c r="A76" s="27" t="inlineStr">
        <is>
          <t>OBS-L4</t>
        </is>
      </c>
      <c r="B76" s="28" t="inlineStr">
        <is>
          <t>Observability</t>
        </is>
      </c>
      <c r="C76" s="28" t="inlineStr">
        <is>
          <t>Sensitive data leaking into logs, including row values via pg err.detail</t>
        </is>
      </c>
      <c r="D76" s="32" t="inlineStr">
        <is>
          <t>High</t>
        </is>
      </c>
      <c r="E76" s="28" t="inlineStr">
        <is>
          <t>Quick win</t>
        </is>
      </c>
      <c r="F76" s="30" t="inlineStr">
        <is>
          <t>Fixed</t>
        </is>
      </c>
      <c r="G76" s="31" t="inlineStr">
        <is>
          <t>Verified in code</t>
        </is>
      </c>
      <c r="H76" s="28" t="inlineStr">
        <is>
          <t>Same fix as SEC-L4, incl. pg err.detail. Landed BEFORE any log shipping.</t>
        </is>
      </c>
    </row>
    <row r="77" ht="15" customHeight="1" s="25">
      <c r="A77" s="27" t="inlineStr">
        <is>
          <t>OBS-L7</t>
        </is>
      </c>
      <c r="B77" s="28" t="inlineStr">
        <is>
          <t>Observability</t>
        </is>
      </c>
      <c r="C77" s="28" t="inlineStr">
        <is>
          <t>Logs are neither durable nor shipped; lost on every deploy</t>
        </is>
      </c>
      <c r="D77" s="32" t="inlineStr">
        <is>
          <t>High</t>
        </is>
      </c>
      <c r="E77" s="28" t="inlineStr">
        <is>
          <t>Quick / Medium</t>
        </is>
      </c>
      <c r="F77" s="30" t="inlineStr">
        <is>
          <t>Fixed</t>
        </is>
      </c>
      <c r="G77" s="31" t="inlineStr">
        <is>
          <t>Verified in code</t>
        </is>
      </c>
      <c r="H77" s="28" t="inlineStr">
        <is>
          <t>Rotation half: json-file capped at 50m x5 on all five services — unbounded growth on an unmonitored disk was a plausible CAUSE of an outage. Shipping off-box remains open.</t>
        </is>
      </c>
    </row>
    <row r="78" ht="15" customHeight="1" s="25">
      <c r="A78" s="27" t="inlineStr">
        <is>
          <t>OBS-M2</t>
        </is>
      </c>
      <c r="B78" s="28" t="inlineStr">
        <is>
          <t>Observability</t>
        </is>
      </c>
      <c r="C78" s="28" t="inlineStr">
        <is>
          <t>Business metrics unobservable though the data already exists</t>
        </is>
      </c>
      <c r="D78" s="32" t="inlineStr">
        <is>
          <t>High</t>
        </is>
      </c>
      <c r="E78" s="28" t="inlineStr">
        <is>
          <t>Medium</t>
        </is>
      </c>
      <c r="F78" s="28" t="inlineStr">
        <is>
          <t>Fixed</t>
        </is>
      </c>
      <c r="G78" s="28" t="inlineStr">
        <is>
          <t>Verified</t>
        </is>
      </c>
      <c r="H78" s="28" t="inlineStr">
        <is>
          <t>New shared/observability/business-metrics.js: six probes over data that already existed — invoices posted by status, journal entries, approvals pending bucketed by age, undelivered/DEAD orchestration events, ledger writes per hour, and depreciation rows posted with no entry (the one that would have caught DATA 5.5, where uptime was 100%, error rate zero, and the only symptom was a number that should have been rising and was flat). Required adding GAUGE support to metrics.js, which had counters and histograms only — modelling a level as a counter makes rate() meaningless and a decrease read as a process restart. Refreshes on a timer rather than per scrape, because a 15s poll across the fleet is its own load problem against the PERF S1 connection budget. A failing tenant is reported AS a metric (collect_ok 0) rather than breaking the endpoint — proven with an unreachable tenant in the fleet, and with a probe whose table does not exist being skipped at debug.</t>
        </is>
      </c>
    </row>
    <row r="79" ht="15" customHeight="1" s="25">
      <c r="A79" s="27" t="inlineStr">
        <is>
          <t>OBS-T2</t>
        </is>
      </c>
      <c r="B79" s="28" t="inlineStr">
        <is>
          <t>Observability</t>
        </is>
      </c>
      <c r="C79" s="28" t="inlineStr">
        <is>
          <t>No timing recorded anywhere</t>
        </is>
      </c>
      <c r="D79" s="32" t="inlineStr">
        <is>
          <t>High</t>
        </is>
      </c>
      <c r="E79" s="28" t="inlineStr">
        <is>
          <t>Quick win</t>
        </is>
      </c>
      <c r="F79" s="30" t="inlineStr">
        <is>
          <t>Fixed</t>
        </is>
      </c>
      <c r="G79" s="31" t="inlineStr">
        <is>
          <t>Verified in code</t>
        </is>
      </c>
      <c r="H79" s="28" t="inlineStr">
        <is>
          <t>HTTP duration histogram in the access-log middleware; job duration measured in workers.js (start/done were logged with elapsed never computed); db query duration on both query paths.</t>
        </is>
      </c>
    </row>
    <row r="80" ht="15" customHeight="1" s="25">
      <c r="A80" s="27" t="inlineStr">
        <is>
          <t>OBS-T4</t>
        </is>
      </c>
      <c r="B80" s="28" t="inlineStr">
        <is>
          <t>Observability</t>
        </is>
      </c>
      <c r="C80" s="28" t="inlineStr">
        <is>
          <t>Auth, RBAC and tenant middleware log nothing</t>
        </is>
      </c>
      <c r="D80" s="32" t="inlineStr">
        <is>
          <t>High</t>
        </is>
      </c>
      <c r="E80" s="28" t="inlineStr">
        <is>
          <t>Quick win</t>
        </is>
      </c>
      <c r="F80" s="30" t="inlineStr">
        <is>
          <t>Fixed</t>
        </is>
      </c>
      <c r="G80" s="31" t="inlineStr">
        <is>
          <t>Verified in code</t>
        </is>
      </c>
      <c r="H80" s="28" t="inlineStr">
        <is>
          <t>auth.js and rbac.js had ZERO logger calls. Failed authentication and permission denial are now logged and counted (praxis_auth_failures_total, praxis_rbac_denials_total) — a debugging gap and a credential-stuffing detection gap.</t>
        </is>
      </c>
    </row>
    <row r="81" ht="15" customHeight="1" s="25">
      <c r="A81" s="27" t="inlineStr">
        <is>
          <t>OBS-I3</t>
        </is>
      </c>
      <c r="B81" s="28" t="inlineStr">
        <is>
          <t>Observability</t>
        </is>
      </c>
      <c r="C81" s="28" t="inlineStr">
        <is>
          <t>Migrations have no rollback path and run before the app rolls; no automated backup</t>
        </is>
      </c>
      <c r="D81" s="32" t="inlineStr">
        <is>
          <t>High</t>
        </is>
      </c>
      <c r="E81" s="28" t="inlineStr">
        <is>
          <t>Medium</t>
        </is>
      </c>
      <c r="F81" s="28" t="inlineStr">
        <is>
          <t>Open</t>
        </is>
      </c>
      <c r="G81" s="28" t="inlineStr">
        <is>
          <t>As reported</t>
        </is>
      </c>
      <c r="H81" s="28" t="n"/>
    </row>
    <row r="82" ht="15" customHeight="1" s="25">
      <c r="A82" s="27" t="inlineStr">
        <is>
          <t>OBS-I4</t>
        </is>
      </c>
      <c r="B82" s="28" t="inlineStr">
        <is>
          <t>Observability</t>
        </is>
      </c>
      <c r="C82" s="28" t="inlineStr">
        <is>
          <t>The deploy has no real smoke test and no auto-rollback</t>
        </is>
      </c>
      <c r="D82" s="32" t="inlineStr">
        <is>
          <t>High</t>
        </is>
      </c>
      <c r="E82" s="28" t="inlineStr">
        <is>
          <t>Quick win</t>
        </is>
      </c>
      <c r="F82" s="35" t="inlineStr">
        <is>
          <t>Partially fixed</t>
        </is>
      </c>
      <c r="G82" s="28" t="inlineStr">
        <is>
          <t>As reported</t>
        </is>
      </c>
      <c r="H82" s="28" t="inlineStr">
        <is>
          <t>Smoke test can now fail and the deploy exits non-zero. Auto-rollback NOT wired — rollback.sh has never been executed, and automating an unproven recovery path is worse than manual.</t>
        </is>
      </c>
    </row>
    <row r="83" ht="15" customHeight="1" s="25">
      <c r="A83" s="27" t="inlineStr">
        <is>
          <t>OBS-I6</t>
        </is>
      </c>
      <c r="B83" s="28" t="inlineStr">
        <is>
          <t>Observability</t>
        </is>
      </c>
      <c r="C83" s="28" t="inlineStr">
        <is>
          <t>Single-host topology with no capacity signal</t>
        </is>
      </c>
      <c r="D83" s="32" t="inlineStr">
        <is>
          <t>High</t>
        </is>
      </c>
      <c r="E83" s="28" t="inlineStr">
        <is>
          <t>Deeper</t>
        </is>
      </c>
      <c r="F83" s="28" t="inlineStr">
        <is>
          <t>Open</t>
        </is>
      </c>
      <c r="G83" s="28" t="inlineStr">
        <is>
          <t>As reported</t>
        </is>
      </c>
      <c r="H83" s="28" t="n"/>
    </row>
    <row r="84" ht="15" customHeight="1" s="25">
      <c r="A84" s="27" t="inlineStr">
        <is>
          <t>OBS-A7</t>
        </is>
      </c>
      <c r="B84" s="28" t="inlineStr">
        <is>
          <t>Observability</t>
        </is>
      </c>
      <c r="C84" s="28" t="inlineStr">
        <is>
          <t>Failed BullMQ jobs accumulate unwatched</t>
        </is>
      </c>
      <c r="D84" s="33" t="inlineStr">
        <is>
          <t>Medium</t>
        </is>
      </c>
      <c r="E84" s="28" t="inlineStr">
        <is>
          <t>Medium</t>
        </is>
      </c>
      <c r="F84" s="30" t="inlineStr">
        <is>
          <t>Fixed</t>
        </is>
      </c>
      <c r="G84" s="31" t="inlineStr">
        <is>
          <t>Verified in code</t>
        </is>
      </c>
      <c r="H84" s="28" t="inlineStr">
        <is>
          <t>BullMQ `failed` fires per ATTEMPT; attempts vs exhaustion are now distinguished, counted by outcome, and only terminal failure is reported — same reasoning as OBS-A6.</t>
        </is>
      </c>
    </row>
    <row r="85" ht="15" customHeight="1" s="25">
      <c r="A85" s="27" t="inlineStr">
        <is>
          <t>OBS-L5</t>
        </is>
      </c>
      <c r="B85" s="28" t="inlineStr">
        <is>
          <t>Observability</t>
        </is>
      </c>
      <c r="C85" s="28" t="inlineStr">
        <is>
          <t>Level discipline inverted - real failures logged at warn, stacks discarded</t>
        </is>
      </c>
      <c r="D85" s="33" t="inlineStr">
        <is>
          <t>Medium</t>
        </is>
      </c>
      <c r="E85" s="28" t="inlineStr">
        <is>
          <t>Quick win</t>
        </is>
      </c>
      <c r="F85" s="28" t="inlineStr">
        <is>
          <t>Fixed</t>
        </is>
      </c>
      <c r="G85" s="28" t="inlineStr">
        <is>
          <t>Verified in code</t>
        </is>
      </c>
      <c r="H85" s="48" t="inlineStr">
        <is>
          <t>Two changes. (1) LEVEL: the eight paths the audit names as REAL swallowed failures move warn -&gt; error — costing-approval draft-invoice sync, email and push delivery (x2 each), approval notifications (x2), and AI usage/spend logging — so an alert keyed on level&gt;=error now sees them. Deliberately NOT a blanket conversion: a cache miss or a geocode timeout is a genuine degrade, and promoting those would drown the eight that matter. (2) STACKS: `{ err: err.message }` discards the stack, which was the other half of the finding. All 74 call sites across 49 files now pass the Error object, so pino's default err serializer keeps type, message and stack. Applied only inside logger.* calls — `err: err.message` feeding a jsonb column or an error-report payload is left alone, because an Error there serialises to '{}' and converting would LOSE the message rather than gain a stack. REDACT_PATHS already censors err.detail, so the pg-error leak stays closed.</t>
        </is>
      </c>
    </row>
    <row r="86" ht="15" customHeight="1" s="25">
      <c r="A86" s="27" t="inlineStr">
        <is>
          <t>OBS-L6</t>
        </is>
      </c>
      <c r="B86" s="28" t="inlineStr">
        <is>
          <t>Observability</t>
        </is>
      </c>
      <c r="C86" s="28" t="inlineStr">
        <is>
          <t>The runbook documents a log location that does not exist</t>
        </is>
      </c>
      <c r="D86" s="33" t="inlineStr">
        <is>
          <t>Medium</t>
        </is>
      </c>
      <c r="E86" s="28" t="inlineStr">
        <is>
          <t>Quick win</t>
        </is>
      </c>
      <c r="F86" s="30" t="inlineStr">
        <is>
          <t>Fixed</t>
        </is>
      </c>
      <c r="G86" s="31" t="inlineStr">
        <is>
          <t>Verified in code</t>
        </is>
      </c>
      <c r="H86" s="28" t="inlineStr">
        <is>
          <t>DEPLOYMENT.md claimed logs land in ./logs. Nothing ever wrote there. Corrected to stdout + the json-file driver, with the rotation caps now set.</t>
        </is>
      </c>
    </row>
    <row r="87" ht="15" customHeight="1" s="25">
      <c r="A87" s="27" t="inlineStr">
        <is>
          <t>OBS-M3</t>
        </is>
      </c>
      <c r="B87" s="28" t="inlineStr">
        <is>
          <t>Observability</t>
        </is>
      </c>
      <c r="C87" s="28" t="inlineStr">
        <is>
          <t>Slow queries warn but are never measured</t>
        </is>
      </c>
      <c r="D87" s="33" t="inlineStr">
        <is>
          <t>Medium</t>
        </is>
      </c>
      <c r="E87" s="28" t="inlineStr">
        <is>
          <t>Quick win</t>
        </is>
      </c>
      <c r="F87" s="30" t="inlineStr">
        <is>
          <t>Fixed</t>
        </is>
      </c>
      <c r="G87" s="31" t="inlineStr">
        <is>
          <t>Verified in code</t>
        </is>
      </c>
      <c r="H87" s="28" t="inlineStr">
        <is>
          <t>Every query is timed into a histogram, not just those over a hardcoded 500ms; threshold is SLOW_QUERY_MS and slow queries are counted.</t>
        </is>
      </c>
    </row>
    <row r="88" ht="15" customHeight="1" s="25">
      <c r="A88" s="27" t="inlineStr">
        <is>
          <t>OBS-T3</t>
        </is>
      </c>
      <c r="B88" s="28" t="inlineStr">
        <is>
          <t>Observability</t>
        </is>
      </c>
      <c r="C88" s="28" t="inlineStr">
        <is>
          <t>No cross-process correlation into workers</t>
        </is>
      </c>
      <c r="D88" s="33" t="inlineStr">
        <is>
          <t>Medium</t>
        </is>
      </c>
      <c r="E88" s="28" t="inlineStr">
        <is>
          <t>Medium</t>
        </is>
      </c>
      <c r="F88" s="30" t="inlineStr">
        <is>
          <t>Fixed</t>
        </is>
      </c>
      <c r="G88" s="31" t="inlineStr">
        <is>
          <t>Verified in code</t>
        </is>
      </c>
      <c r="H88" s="28" t="inlineStr">
        <is>
          <t>queue-producer stamps {tenant,user_id,request_id} onto every job; workers.js restores it into AsyncLocalStorage, so a failed job's log lines carry the request that enqueued it.</t>
        </is>
      </c>
    </row>
    <row r="89" ht="15" customHeight="1" s="25">
      <c r="A89" s="27" t="inlineStr">
        <is>
          <t>OBS-I5</t>
        </is>
      </c>
      <c r="B89" s="28" t="inlineStr">
        <is>
          <t>Observability</t>
        </is>
      </c>
      <c r="C89" s="28" t="inlineStr">
        <is>
          <t>Deploys are unattributed and unannounced</t>
        </is>
      </c>
      <c r="D89" s="33" t="inlineStr">
        <is>
          <t>Medium</t>
        </is>
      </c>
      <c r="E89" s="28" t="inlineStr">
        <is>
          <t>Quick win</t>
        </is>
      </c>
      <c r="F89" s="30" t="inlineStr">
        <is>
          <t>Fixed</t>
        </is>
      </c>
      <c r="G89" s="31" t="inlineStr">
        <is>
          <t>Verified in code</t>
        </is>
      </c>
      <c r="H89" s="28" t="inlineStr">
        <is>
          <t>Build identity + deploy announcements to ALERT_WEBHOOK_URL on start/success/failure.</t>
        </is>
      </c>
    </row>
    <row r="90" ht="23.25" customHeight="1" s="25">
      <c r="A90" s="27" t="inlineStr">
        <is>
          <t>API-F1</t>
        </is>
      </c>
      <c r="B90" s="28" t="inlineStr">
        <is>
          <t>API Contract</t>
        </is>
      </c>
      <c r="C90" s="28" t="inlineStr">
        <is>
          <t>Eighteen deliberate client errors are returned to consumers as 500 INTERNAL_ERROR</t>
        </is>
      </c>
      <c r="D90" s="29" t="inlineStr">
        <is>
          <t>Critical</t>
        </is>
      </c>
      <c r="E90" s="28" t="inlineStr">
        <is>
          <t>Code (BC)</t>
        </is>
      </c>
      <c r="F90" s="30" t="inlineStr">
        <is>
          <t>Fixed</t>
        </is>
      </c>
      <c r="G90" s="31" t="inlineStr">
        <is>
          <t>Verified in code</t>
        </is>
      </c>
      <c r="H90" s="28" t="inlineStr">
        <is>
          <t>error-handler honours err.status for 4xx; thrown 5xx still flattens to a generic 500. Fixed BEFORE alerting went live.</t>
        </is>
      </c>
    </row>
    <row r="91" ht="23.25" customHeight="1" s="25">
      <c r="A91" s="27" t="inlineStr">
        <is>
          <t>API-F6</t>
        </is>
      </c>
      <c r="B91" s="28" t="inlineStr">
        <is>
          <t>API Contract</t>
        </is>
      </c>
      <c r="C91" s="28" t="inlineStr">
        <is>
          <t>Two unrelated resources share the base path /inbound</t>
        </is>
      </c>
      <c r="D91" s="29" t="inlineStr">
        <is>
          <t>Critical</t>
        </is>
      </c>
      <c r="E91" s="28" t="inlineStr">
        <is>
          <t>Code (BC)</t>
        </is>
      </c>
      <c r="F91" s="30" t="inlineStr">
        <is>
          <t>Fixed</t>
        </is>
      </c>
      <c r="G91" s="31" t="inlineStr">
        <is>
          <t>Verified in code</t>
        </is>
      </c>
      <c r="H91" s="28" t="inlineStr">
        <is>
          <t>sales/inbound_intake moved to /intake; 4 client callers updated; waiver list now empty and the boot guard is unconditional. BREAKING.</t>
        </is>
      </c>
    </row>
    <row r="92" ht="15" customHeight="1" s="25">
      <c r="A92" s="27" t="inlineStr">
        <is>
          <t>API-F18</t>
        </is>
      </c>
      <c r="B92" s="28" t="inlineStr">
        <is>
          <t>API Contract</t>
        </is>
      </c>
      <c r="C92" s="28" t="inlineStr">
        <is>
          <t>There is no versioning of any kind - no prefix, header, sunset or deprecation mechanism</t>
        </is>
      </c>
      <c r="D92" s="29" t="inlineStr">
        <is>
          <t>Critical</t>
        </is>
      </c>
      <c r="E92" s="28" t="inlineStr">
        <is>
          <t>Structural</t>
        </is>
      </c>
      <c r="F92" s="28" t="inlineStr">
        <is>
          <t>Fixed</t>
        </is>
      </c>
      <c r="G92" s="28" t="inlineStr">
        <is>
          <t>Verified</t>
        </is>
      </c>
      <c r="H92" s="28" t="inlineStr">
        <is>
          <t>New src/middleware/api-version.js. /api/v1/... and /api/... serve the SAME router — unversioned is an alias for the current version, not a second contract, because two implementations is how versioning schemes rot. Every response carries X-API-Version; the unversioned path additionally carries X-API-Deprecation-Notice and increments a counter, which is what makes retiring it a decision based on traffic rather than nerve. deprecate({sunset, replacement, reason}) emits the RFC 8594 Deprecation/Sunset headers plus Link rel=successor-version and a human-readable Warning — so a breaking change can be announced ON THE WIRE months before it lands, which is the thing that was impossible. It announces and never enforces: turning an endpoint off is a deploy. Unversioned paths are NOT refused, because the React app, the PWA and every integration call them, and refusing them would be a breaking change made in the name of enabling breaking changes safely.</t>
        </is>
      </c>
    </row>
    <row r="93" ht="15" customHeight="1" s="25">
      <c r="A93" s="27" t="inlineStr">
        <is>
          <t>API-F20</t>
        </is>
      </c>
      <c r="B93" s="28" t="inlineStr">
        <is>
          <t>API Contract</t>
        </is>
      </c>
      <c r="C93" s="28" t="inlineStr">
        <is>
          <t>Platform secret management has no capability check (8 routes)</t>
        </is>
      </c>
      <c r="D93" s="29" t="inlineStr">
        <is>
          <t>Critical</t>
        </is>
      </c>
      <c r="E93" s="28" t="inlineStr">
        <is>
          <t>Code, quick</t>
        </is>
      </c>
      <c r="F93" s="30" t="inlineStr">
        <is>
          <t>Fixed</t>
        </is>
      </c>
      <c r="G93" s="31" t="inlineStr">
        <is>
          <t>Verified in code</t>
        </is>
      </c>
      <c r="H93" s="28" t="inlineStr">
        <is>
          <t>Same fix as SEC-H2.</t>
        </is>
      </c>
    </row>
    <row r="94" ht="15" customHeight="1" s="25">
      <c r="A94" s="27" t="inlineStr">
        <is>
          <t>API-F30</t>
        </is>
      </c>
      <c r="B94" s="28" t="inlineStr">
        <is>
          <t>API Contract</t>
        </is>
      </c>
      <c r="C94" s="28" t="inlineStr">
        <is>
          <t>There is no mechanism that would catch a contract regression</t>
        </is>
      </c>
      <c r="D94" s="29" t="inlineStr">
        <is>
          <t>Critical</t>
        </is>
      </c>
      <c r="E94" s="28" t="inlineStr">
        <is>
          <t>CI + test</t>
        </is>
      </c>
      <c r="F94" s="28" t="inlineStr">
        <is>
          <t>Fixed</t>
        </is>
      </c>
      <c r="G94" s="28" t="inlineStr">
        <is>
          <t>Verified</t>
        </is>
      </c>
      <c r="H94" s="28" t="inlineStr">
        <is>
          <t>New scripts/check-api-contract.js + CI gate. Mounts the real routers and diffs the live surface (METHOD path, plus whether the chain carries auth / rbac / a validator) against doc/api-contract.json. Derived from the code rather than hand-maintained, because F-25 shows what happens to a hand-written spec: 19% complete and drifted. Removals and LOST GATES fail; additions do not — a check that fails on every new route gets --update'd without being read. A MISSING snapshot is a failure, not a silent bootstrap: auto-writing it would make CI regenerate and self-compare forever, a green tick over an unguarded contract, which is exactly the state F-30 describes. The diff logic is exported and covered by 19 assertions in tests/unit/api-contract.test.js. OWNER ACTION: run `node scripts/check-api-contract.js --update` once and commit doc/api-contract.json — it needs the full module mount, which exceeds this sandbox's timeout.</t>
        </is>
      </c>
    </row>
    <row r="95" ht="15" customHeight="1" s="25">
      <c r="A95" s="27" t="inlineStr">
        <is>
          <t>API-F2</t>
        </is>
      </c>
      <c r="B95" s="28" t="inlineStr">
        <is>
          <t>API Contract</t>
        </is>
      </c>
      <c r="C95" s="28" t="inlineStr">
        <is>
          <t>Three different response shapes for 'your input was invalid'</t>
        </is>
      </c>
      <c r="D95" s="32" t="inlineStr">
        <is>
          <t>High</t>
        </is>
      </c>
      <c r="E95" s="28" t="inlineStr">
        <is>
          <t>Code (BC)</t>
        </is>
      </c>
      <c r="F95" s="28" t="inlineStr">
        <is>
          <t>Fixed</t>
        </is>
      </c>
      <c r="G95" s="28" t="inlineStr">
        <is>
          <t>Verified</t>
        </is>
      </c>
      <c r="H95" s="28" t="inlineStr">
        <is>
          <t>One shape everywhere: 422 VALIDATION_ERROR + fields. app_user.validator (every auth endpoint) delegated to the shared kit, losing VALIDATION_FAILED/details and GAINING request_id because it now travels through next(err) - which also closes F-3 for those routes. workflow and scope moved 400 -&gt; 422; the ZodError fallback moved 400 -&gt; 422. `details` still emitted alongside `fields` as a deprecated alias so existing auth integrations survive the deploy. Client fixed too: api-client read err.details, which the server sent from exactly ONE file, so field-level messages never reached the UI on ~700 routes - now reads fields with a details fallback, and form.tsx + use-resource.ts follow. Verified no 400 VALIDATION_ERROR and no VALIDATION_FAILED remain in src/.</t>
        </is>
      </c>
    </row>
    <row r="96" ht="15" customHeight="1" s="25">
      <c r="A96" s="27" t="inlineStr">
        <is>
          <t>API-F15</t>
        </is>
      </c>
      <c r="B96" s="28" t="inlineStr">
        <is>
          <t>API Contract</t>
        </is>
      </c>
      <c r="C96" s="28" t="inlineStr">
        <is>
          <t>60 write routes accept an unvalidated body (17% of writes)</t>
        </is>
      </c>
      <c r="D96" s="32" t="inlineStr">
        <is>
          <t>High</t>
        </is>
      </c>
      <c r="E96" s="28" t="inlineStr">
        <is>
          <t>Code</t>
        </is>
      </c>
      <c r="F96" s="28" t="inlineStr">
        <is>
          <t>Fixed</t>
        </is>
      </c>
      <c r="G96" s="28" t="inlineStr">
        <is>
          <t>Verified</t>
        </is>
      </c>
      <c r="H96" s="28" t="inlineStr">
        <is>
          <t>Validators added to every route the audit listed that actually reads req.body: permissions/grant (the RBAC matrix - .strict() so a misspelled can_aprove cannot silently write false, and z.boolean() so the string "false" stops granting delete through the repo's !! coercion), 4 branding routes (8 MB cap + data-URL shape on the two uploads), mail senders x2 + thread link, smartcomm quick-reply PATCH (which had reused the CREATE guard), scope member add, report run/:key/pdf, and the two platform :section/:key and :vendor path params. audit_ledger completeReview was listed but reads no body - verified, no validator needed.</t>
        </is>
      </c>
    </row>
    <row r="97" ht="15" customHeight="1" s="25">
      <c r="A97" s="27" t="inlineStr">
        <is>
          <t>API-F16</t>
        </is>
      </c>
      <c r="B97" s="28" t="inlineStr">
        <is>
          <t>API Contract</t>
        </is>
      </c>
      <c r="C97" s="28" t="inlineStr">
        <is>
          <t>Query and path parameters are almost never validated</t>
        </is>
      </c>
      <c r="D97" s="32" t="inlineStr">
        <is>
          <t>High</t>
        </is>
      </c>
      <c r="E97" s="28" t="inlineStr">
        <is>
          <t>Code</t>
        </is>
      </c>
      <c r="F97" s="28" t="inlineStr">
        <is>
          <t>Fixed</t>
        </is>
      </c>
      <c r="G97" s="28" t="inlineStr">
        <is>
          <t>Verified</t>
        </is>
      </c>
      <c r="H97" s="28" t="inlineStr">
        <is>
          <t>idParamGuard bound by the module loader via router.param on every mounted router INCLUDING nested ones, so all 363 /:id routes are covered without editing 363 files. Accepts UUID or digits - checked every non-uuid PK in the schema (event_log, immutable_ledger, ai_usage_ledger, event_dispatch are bigint) and confirmed by cross-referencing all 73 /:id modules against their tables that ZERO need the idParam:'text' opt-out (treasury_account looked like a false positive and routes gateways by :provider, which is not guarded). Proven end-to-end on a live express app: uuid 200, bigint 200, garbage 422 with fields.id, sql-ish 422, nested-router garbage 422. strictQuery() added for unknown-filter rejection - the silent ?statuss=ACTIVE case.</t>
        </is>
      </c>
    </row>
    <row r="98" ht="23.25" customHeight="1" s="25">
      <c r="A98" s="27" t="inlineStr">
        <is>
          <t>API-F19</t>
        </is>
      </c>
      <c r="B98" s="28" t="inlineStr">
        <is>
          <t>API Contract</t>
        </is>
      </c>
      <c r="C98" s="28" t="inlineStr">
        <is>
          <t>Modules can vanish from the API without any error</t>
        </is>
      </c>
      <c r="D98" s="32" t="inlineStr">
        <is>
          <t>High</t>
        </is>
      </c>
      <c r="E98" s="28" t="inlineStr">
        <is>
          <t>Additive</t>
        </is>
      </c>
      <c r="F98" s="30" t="inlineStr">
        <is>
          <t>Fixed</t>
        </is>
      </c>
      <c r="G98" s="31" t="inlineStr">
        <is>
          <t>Verified in code</t>
        </is>
      </c>
      <c r="H98" s="28" t="inlineStr">
        <is>
          <t>Skipped modules recorded, logged at error, and surfaced on /api/health/ready.</t>
        </is>
      </c>
    </row>
    <row r="99" ht="15" customHeight="1" s="25">
      <c r="A99" s="27" t="inlineStr">
        <is>
          <t>API-F21</t>
        </is>
      </c>
      <c r="B99" s="28" t="inlineStr">
        <is>
          <t>API Contract</t>
        </is>
      </c>
      <c r="C99" s="28" t="inlineStr">
        <is>
          <t>Structurally identical lifecycle endpoints require different permissions</t>
        </is>
      </c>
      <c r="D99" s="32" t="inlineStr">
        <is>
          <t>High</t>
        </is>
      </c>
      <c r="E99" s="28" t="inlineStr">
        <is>
          <t>Code (BC)</t>
        </is>
      </c>
      <c r="F99" s="28" t="inlineStr">
        <is>
          <t>Fixed</t>
        </is>
      </c>
      <c r="G99" s="28" t="inlineStr">
        <is>
          <t>Verified in code</t>
        </is>
      </c>
      <c r="H99" s="48" t="inlineStr">
        <is>
          <t>Lifecycle transitions were gated four different ways. All twelve flat-gated modules now use the shared requireTransitionPermission with a declared TRANSITION_ACTION map, validator FIRST so the target state is checked against the enum before it selects its own gate. The split follows the design the helper already documents: ADVANCING a record is `edit`; a decision that ends it, or that is irreversible outside the system (DISPATCHED, SIGNED, CLOSED, DONE, CANCELLED), is `approve`. Unlisted states fall back to `approve` — fails closed. purchase_request.routes.js's local reimplementation of the helper is deleted in favour of the shared import. One deliberate LOOSENING, flagged: proposal was flat `approve` for every target, so only approvers could SUBMIT — the exact bug PERMISSION_SWEEP_BACKLOG §A and the helper's own header describe. DRAFT/IN_REVIEW/SENT relax to `edit`; REJECTED stays `approve`.</t>
        </is>
      </c>
    </row>
    <row r="100" ht="15" customHeight="1" s="25">
      <c r="A100" s="27" t="inlineStr">
        <is>
          <t>API-F25</t>
        </is>
      </c>
      <c r="B100" s="28" t="inlineStr">
        <is>
          <t>API Contract</t>
        </is>
      </c>
      <c r="C100" s="28" t="inlineStr">
        <is>
          <t>No API spec exists; the one artefact that does is 19% complete and has drifted</t>
        </is>
      </c>
      <c r="D100" s="32" t="inlineStr">
        <is>
          <t>High</t>
        </is>
      </c>
      <c r="E100" s="28" t="inlineStr">
        <is>
          <t>Docs</t>
        </is>
      </c>
      <c r="F100" s="28" t="inlineStr">
        <is>
          <t>Fixed</t>
        </is>
      </c>
      <c r="G100" s="28" t="inlineStr">
        <is>
          <t>Verified in code</t>
        </is>
      </c>
      <c r="H100" s="48" t="inlineStr">
        <is>
          <t>doc/API_REFERENCE.md, GENERATED by scripts/generate-api-docs.js from doc/api-contract.json — the artefact check-api-contract.js already derives by mounting the real routers, and which CI already fails on. All 731 routes across 100 modules, grouped by prefix, with body-validation status. Critically it also documents THE OUT-OF-BAND REQUEST CONTRACT, which F-25 called out as underivable by an integrator: Host selects the tenant, X-Praxis-Env selects the sandbox schema for business data only, identity always resolves against LIVE so a TEST flip never logs you out, X-Request-Id correlation, and the list/filter/sort vocabulary. A generated spec cannot disagree with the code the way the 19%-complete Postman collection had. `--check` mode catches drift. NOT included: the access-tier table — see API-F23.</t>
        </is>
      </c>
    </row>
    <row r="101" ht="34.5" customHeight="1" s="25">
      <c r="A101" s="27" t="inlineStr">
        <is>
          <t>API-F26</t>
        </is>
      </c>
      <c r="B101" s="28" t="inlineStr">
        <is>
          <t>API Contract</t>
        </is>
      </c>
      <c r="C101" s="28" t="inlineStr">
        <is>
          <t>No list endpoint reports a total, so no consumer can paginate</t>
        </is>
      </c>
      <c r="D101" s="32" t="inlineStr">
        <is>
          <t>High</t>
        </is>
      </c>
      <c r="E101" s="28" t="inlineStr">
        <is>
          <t>Additive</t>
        </is>
      </c>
      <c r="F101" s="35" t="inlineStr">
        <is>
          <t>Fixed</t>
        </is>
      </c>
      <c r="G101" s="31" t="inlineStr">
        <is>
          <t>Verified</t>
        </is>
      </c>
      <c r="H101" s="28" t="inlineStr">
        <is>
          <t>Shared CRUD list adds COUNT(*) OVER() and makeController emits meta {total, limit, offset, has_more} ALONGSIDE data - data stays a bare array, so the existing client is unaffected. The total rides on a non-enumerable property rather than changing repo.list's return type, which 90 modules depend on; proven that JSON.stringify, Object.keys and spread all still see a plain array. Client reads meta.total/has_more with the X-Total-Count header as fallback. meta is OMITTED rather than faked when a hand-rolled list reports no total - a client trusting total:0 would show an empty pager over a full list.</t>
        </is>
      </c>
    </row>
    <row r="102" ht="15" customHeight="1" s="25">
      <c r="A102" s="27" t="inlineStr">
        <is>
          <t>API-F27</t>
        </is>
      </c>
      <c r="B102" s="28" t="inlineStr">
        <is>
          <t>API Contract</t>
        </is>
      </c>
      <c r="C102" s="28" t="inlineStr">
        <is>
          <t>17 list endpoints have no LIMIT at all, including /sessions and /permissions</t>
        </is>
      </c>
      <c r="D102" s="32" t="inlineStr">
        <is>
          <t>High</t>
        </is>
      </c>
      <c r="E102" s="28" t="inlineStr">
        <is>
          <t>Code (BC)</t>
        </is>
      </c>
      <c r="F102" s="28" t="inlineStr">
        <is>
          <t>Fixed</t>
        </is>
      </c>
      <c r="G102" s="28" t="inlineStr">
        <is>
          <t>Verified</t>
        </is>
      </c>
      <c r="H102" s="28" t="inlineStr">
        <is>
          <t>New listComplete() helper: asks for ceiling+1 and THROWS RESULT_SET_TOO_LARGE naming the endpoint if that many come back, rather than truncating. Applied to permission matrix (20k), settings x2, document signatures, outbound lines, training attendance, job applicants. The blanket 'apply the default limit' fix would have been WRONG for permission.listAll, which exists precisely because the paginated version truncated the grant matrix and editors overwrote it blind. Caught a self-inflicted bug mid-change: all 7 call sites destructure `const { rows } = await ...`, so a helper returning a bare array would have made every one of them undefined - listComplete returns { rows } to be a drop-in for client.query. Tested at, below and above the ceiling.</t>
        </is>
      </c>
    </row>
    <row r="103" ht="15" customHeight="1" s="25">
      <c r="A103" s="27" t="inlineStr">
        <is>
          <t>API-F3</t>
        </is>
      </c>
      <c r="B103" s="28" t="inlineStr">
        <is>
          <t>API Contract</t>
        </is>
      </c>
      <c r="C103" s="28" t="inlineStr">
        <is>
          <t>Middleware-level errors omit request_id</t>
        </is>
      </c>
      <c r="D103" s="33" t="inlineStr">
        <is>
          <t>Medium</t>
        </is>
      </c>
      <c r="E103" s="28" t="inlineStr">
        <is>
          <t>Code</t>
        </is>
      </c>
      <c r="F103" s="28" t="inlineStr">
        <is>
          <t>Fixed</t>
        </is>
      </c>
      <c r="G103" s="28" t="inlineStr">
        <is>
          <t>Verified in code</t>
        </is>
      </c>
      <c r="H103" s="48" t="inlineStr">
        <is>
          <t>FOUND BY TC-C12's chain test, not by inspection: asserting one error envelope across four failure modes showed the tenant-gate 404 had no request_id at all. hostTenantResolver (TENANT_NOT_FOUND / TENANT_SUSPENDED / TENANT_NOT_READY), tenantContext (NO_TENANT_CONTEXT) and feature-gate (NO_TENANT_CONTEXT / FEATURE_DISABLED) all answered with res.status(...).json(...) directly, bypassing the error handler — so the six failures a customer is most likely to phone about ('unknown workspace', 'workspace suspended', 'that feature is off') were the six they could not quote a correlation id for. Fixed STRUCTURALLY rather than by adding the field at six sites that would drift again: all six now go through next(new AppError(code, message, status)), so they inherit the standard envelope, the log line they never had, and — for the 500s — the error report. Status codes and error codes are unchanged, asserted explicitly. Verified: middleware-chain.test.js asserts request_id === the X-Request-Id header on all four gate failures and that the 404/403/423 contract is preserved; auth-middleware, rbac-enforcement and capability-assignment (62 assertions) re-run green.</t>
        </is>
      </c>
    </row>
    <row r="104" ht="15" customHeight="1" s="25">
      <c r="A104" s="27" t="inlineStr">
        <is>
          <t>API-F4</t>
        </is>
      </c>
      <c r="B104" s="28" t="inlineStr">
        <is>
          <t>API Contract</t>
        </is>
      </c>
      <c r="C104" s="28" t="inlineStr">
        <is>
          <t>A platform-host request to the tenant API returns 500</t>
        </is>
      </c>
      <c r="D104" s="33" t="inlineStr">
        <is>
          <t>Medium</t>
        </is>
      </c>
      <c r="E104" s="28" t="inlineStr">
        <is>
          <t>Code</t>
        </is>
      </c>
      <c r="F104" s="28" t="inlineStr">
        <is>
          <t>Fixed</t>
        </is>
      </c>
      <c r="G104" s="28" t="inlineStr">
        <is>
          <t>Verified in code</t>
        </is>
      </c>
      <c r="H104" s="48" t="inlineStr">
        <is>
          <t>A tenant-API request on a platform host (localhost, api.*, admin.*, the apex) hit tenantContext with no req.tenant and answered 500 NO_TENANT_CONTEXT — a server error for a client mistake, and a documented footgun (postman/README warns 'localhost is the platform host'). tenantContext now distinguishes the two causes it was conflating: req.isPlatform means the resolver ran and deliberately set no tenant -&gt; 400 WRONG_HOST with a message naming the correct host and the X-Praxis-Tenant dev header. No tenant AND not a platform host still means a misordered middleware chain and stays a loud, logged, reported 500. Owner chose 400 over keeping the status.</t>
        </is>
      </c>
    </row>
    <row r="105" ht="15" customHeight="1" s="25">
      <c r="A105" s="27" t="inlineStr">
        <is>
          <t>API-F7</t>
        </is>
      </c>
      <c r="B105" s="28" t="inlineStr">
        <is>
          <t>API Contract</t>
        </is>
      </c>
      <c r="C105" s="28" t="inlineStr">
        <is>
          <t>/portal and /portals are different products</t>
        </is>
      </c>
      <c r="D105" s="33" t="inlineStr">
        <is>
          <t>Medium</t>
        </is>
      </c>
      <c r="E105" s="28" t="inlineStr">
        <is>
          <t>Code (BC)</t>
        </is>
      </c>
      <c r="F105" s="28" t="inlineStr">
        <is>
          <t>Open</t>
        </is>
      </c>
      <c r="G105" s="28" t="inlineStr">
        <is>
          <t>As reported</t>
        </is>
      </c>
      <c r="H105" s="28" t="n"/>
    </row>
    <row r="106" ht="15" customHeight="1" s="25">
      <c r="A106" s="27" t="inlineStr">
        <is>
          <t>API-F8</t>
        </is>
      </c>
      <c r="B106" s="28" t="inlineStr">
        <is>
          <t>API Contract</t>
        </is>
      </c>
      <c r="C106" s="28" t="inlineStr">
        <is>
          <t>Resource-name pluralisation is ~63/37</t>
        </is>
      </c>
      <c r="D106" s="33" t="inlineStr">
        <is>
          <t>Medium</t>
        </is>
      </c>
      <c r="E106" s="28" t="inlineStr">
        <is>
          <t>Code (BC)</t>
        </is>
      </c>
      <c r="F106" s="28" t="inlineStr">
        <is>
          <t>Open</t>
        </is>
      </c>
      <c r="G106" s="28" t="inlineStr">
        <is>
          <t>As reported</t>
        </is>
      </c>
      <c r="H106" s="28" t="n"/>
    </row>
    <row r="107" ht="15" customHeight="1" s="25">
      <c r="A107" s="27" t="inlineStr">
        <is>
          <t>API-F9</t>
        </is>
      </c>
      <c r="B107" s="28" t="inlineStr">
        <is>
          <t>API Contract</t>
        </is>
      </c>
      <c r="C107" s="28" t="inlineStr">
        <is>
          <t>Module-to-URL mapping is not derivable, and three modules claim the tenant root</t>
        </is>
      </c>
      <c r="D107" s="33" t="inlineStr">
        <is>
          <t>Medium</t>
        </is>
      </c>
      <c r="E107" s="28" t="inlineStr">
        <is>
          <t>Code (BC)</t>
        </is>
      </c>
      <c r="F107" s="28" t="inlineStr">
        <is>
          <t>Open</t>
        </is>
      </c>
      <c r="G107" s="28" t="inlineStr">
        <is>
          <t>As reported</t>
        </is>
      </c>
      <c r="H107" s="28" t="n"/>
    </row>
    <row r="108" ht="15" customHeight="1" s="25">
      <c r="A108" s="27" t="inlineStr">
        <is>
          <t>API-F10</t>
        </is>
      </c>
      <c r="B108" s="28" t="inlineStr">
        <is>
          <t>API Contract</t>
        </is>
      </c>
      <c r="C108" s="28" t="inlineStr">
        <is>
          <t>Grouping depth is arbitrary</t>
        </is>
      </c>
      <c r="D108" s="33" t="inlineStr">
        <is>
          <t>Medium</t>
        </is>
      </c>
      <c r="E108" s="28" t="inlineStr">
        <is>
          <t>Code (BC)</t>
        </is>
      </c>
      <c r="F108" s="28" t="inlineStr">
        <is>
          <t>Open</t>
        </is>
      </c>
      <c r="G108" s="28" t="inlineStr">
        <is>
          <t>As reported</t>
        </is>
      </c>
      <c r="H108" s="28" t="n"/>
    </row>
    <row r="109" ht="15" customHeight="1" s="25">
      <c r="A109" s="27" t="inlineStr">
        <is>
          <t>API-F11</t>
        </is>
      </c>
      <c r="B109" s="28" t="inlineStr">
        <is>
          <t>API Contract</t>
        </is>
      </c>
      <c r="C109" s="28" t="inlineStr">
        <is>
          <t>Two idioms for the same operation: lifecycle transitions</t>
        </is>
      </c>
      <c r="D109" s="33" t="inlineStr">
        <is>
          <t>Medium</t>
        </is>
      </c>
      <c r="E109" s="28" t="inlineStr">
        <is>
          <t>Code (BC)</t>
        </is>
      </c>
      <c r="F109" s="28" t="inlineStr">
        <is>
          <t>Open</t>
        </is>
      </c>
      <c r="G109" s="28" t="inlineStr">
        <is>
          <t>As reported</t>
        </is>
      </c>
      <c r="H109" s="28" t="n"/>
    </row>
    <row r="110" ht="15" customHeight="1" s="25">
      <c r="A110" s="27" t="inlineStr">
        <is>
          <t>API-F12</t>
        </is>
      </c>
      <c r="B110" s="28" t="inlineStr">
        <is>
          <t>API Contract</t>
        </is>
      </c>
      <c r="C110" s="28" t="inlineStr">
        <is>
          <t>DELETE means two different things (hard delete vs soft archive)</t>
        </is>
      </c>
      <c r="D110" s="33" t="inlineStr">
        <is>
          <t>Medium</t>
        </is>
      </c>
      <c r="E110" s="28" t="inlineStr">
        <is>
          <t>Code (BC)</t>
        </is>
      </c>
      <c r="F110" s="28" t="inlineStr">
        <is>
          <t>Open</t>
        </is>
      </c>
      <c r="G110" s="28" t="inlineStr">
        <is>
          <t>As reported</t>
        </is>
      </c>
      <c r="H110" s="28" t="n"/>
    </row>
    <row r="111" ht="15" customHeight="1" s="25">
      <c r="A111" s="27" t="inlineStr">
        <is>
          <t>API-F17</t>
        </is>
      </c>
      <c r="B111" s="28" t="inlineStr">
        <is>
          <t>API Contract</t>
        </is>
      </c>
      <c r="C111" s="28" t="inlineStr">
        <is>
          <t>PATCH bodies are create.partial(), so every writable field is patchable</t>
        </is>
      </c>
      <c r="D111" s="33" t="inlineStr">
        <is>
          <t>Medium</t>
        </is>
      </c>
      <c r="E111" s="28" t="inlineStr">
        <is>
          <t>Code</t>
        </is>
      </c>
      <c r="F111" s="28" t="inlineStr">
        <is>
          <t>Fixed</t>
        </is>
      </c>
      <c r="G111" s="28" t="inlineStr">
        <is>
          <t>Verified in code</t>
        </is>
      </c>
      <c r="H111" s="48" t="inlineStr">
        <is>
          <t>`update: create.partial()` made the status field patchable wherever create declared it, so PATCH /:id {status} reached a state change under plain `edit` while POST /:id/status might require `approve` — the transition gate was effectively optional, and tightening F-21 alone would have moved the hole rather than closed it. New shared middleware requireLifecyclePermissionOnPatch mounted on the PATCH route of all eleven affected resources: when the body does not carry the lifecycle field it does nothing at all, so ordinary edits are untouched; when it does, the request must satisfy the SAME permission the dedicated endpoint requires for that target state. A caller holding the right permission is unaffected; only the cheaper path 403s, which is the escalation closing. Owner chose enforce-now over shadow-mode.</t>
        </is>
      </c>
    </row>
    <row r="112" ht="15" customHeight="1" s="25">
      <c r="A112" s="27" t="inlineStr">
        <is>
          <t>API-F22</t>
        </is>
      </c>
      <c r="B112" s="28" t="inlineStr">
        <is>
          <t>API Contract</t>
        </is>
      </c>
      <c r="C112" s="28" t="inlineStr">
        <is>
          <t>In Smart Comms, 'view' authorises writes</t>
        </is>
      </c>
      <c r="D112" s="33" t="inlineStr">
        <is>
          <t>Medium</t>
        </is>
      </c>
      <c r="E112" s="28" t="inlineStr">
        <is>
          <t>Code (BC)</t>
        </is>
      </c>
      <c r="F112" s="28" t="inlineStr">
        <is>
          <t>Fixed</t>
        </is>
      </c>
      <c r="G112" s="28" t="inlineStr">
        <is>
          <t>Verified in code</t>
        </is>
      </c>
      <c r="H112" s="48" t="inlineStr">
        <is>
          <t>Two halves. (1) THE AUTHZ BUG: `react` and `star` took a bare messageId and asserted nothing, so any MOD-64 `view` holder could react to or star ANY message in ANY channel including ones they cannot see — and a reaction is broadcast over the realtime channel, so it doubled as a way to announce presence in a private conversation. `listMembers` likewise had no assert, disclosing any channel's roster. Added assertMessageMember (resolves message -&gt; channel, then the existing assertMember) and an assert on listMembers; the controller now passes the actor. Not-a-member and no-such-message return the SAME 403, so the message id is not disclosed. (2) THE CONTRACT: eight write endpoints were gated `view`, so granting a role MOD-64 view also granted 'add and remove channel members'. Writes to SHARED state (archive, add/remove member, edit/delete another's message) now require `edit`. Own-preference writes (pin, mute, read marker, draft, star, react) deliberately KEEP `view` and say so in writing — they are per-user rows keyed on the caller, and requiring a write grant to mute a channel you can already read would be the opposite mistake. Membership remains the real authorisation throughout.</t>
        </is>
      </c>
    </row>
    <row r="113" ht="15" customHeight="1" s="25">
      <c r="A113" s="27" t="inlineStr">
        <is>
          <t>API-F23</t>
        </is>
      </c>
      <c r="B113" s="28" t="inlineStr">
        <is>
          <t>API Contract</t>
        </is>
      </c>
      <c r="C113" s="28" t="inlineStr">
        <is>
          <t>Authenticated-but-ungated endpoints are correct, but undeclared</t>
        </is>
      </c>
      <c r="D113" s="33" t="inlineStr">
        <is>
          <t>Medium</t>
        </is>
      </c>
      <c r="E113" s="28" t="inlineStr">
        <is>
          <t>Docs</t>
        </is>
      </c>
      <c r="F113" s="28" t="inlineStr">
        <is>
          <t>Open</t>
        </is>
      </c>
      <c r="G113" s="28" t="inlineStr">
        <is>
          <t>As reported</t>
        </is>
      </c>
      <c r="H113" s="48" t="inlineStr">
        <is>
          <t>ATTEMPTED AND DELIBERATELY NOT SHIPPED. The intent was to publish the self-scoped tier in the generated API reference. doc/api-contract.json records auth/rbac per route from the middleware NAMES on that route's own stack, but nearly every router applies authentication once via router.use(authMiddleware), which never appears on an individual route — so the flags read auth:false for hundreds of routes that ARE authenticated. Classifying tiers off them produced '713 public, 9 self-scoped' against the audit's 10 and 61. A security tier table that lies is worse than none, so the section was removed and replaced with an explicit statement of why, pointing at API_CONTRACT_AUDIT §F-23/F-24 as the reference meanwhile. Closing this properly means resolving router-level middleware inside check-api-contract.js so CI and the doc share one answer — a contained change, but it belongs to that script, not to a doc generator.</t>
        </is>
      </c>
    </row>
    <row r="114" ht="15" customHeight="1" s="25">
      <c r="A114" s="27" t="inlineStr">
        <is>
          <t>API-F28</t>
        </is>
      </c>
      <c r="B114" s="28" t="inlineStr">
        <is>
          <t>API Contract</t>
        </is>
      </c>
      <c r="C114" s="28" t="inlineStr">
        <is>
          <t>Filtering is undeclared, per-repo, and silently ignores typos</t>
        </is>
      </c>
      <c r="D114" s="33" t="inlineStr">
        <is>
          <t>Medium</t>
        </is>
      </c>
      <c r="E114" s="28" t="inlineStr">
        <is>
          <t>Docs + code (BC)</t>
        </is>
      </c>
      <c r="F114" s="28" t="inlineStr">
        <is>
          <t>Fixed</t>
        </is>
      </c>
      <c r="G114" s="28" t="inlineStr">
        <is>
          <t>Verified in code</t>
        </is>
      </c>
      <c r="H114" s="48" t="inlineStr">
        <is>
          <t>Unknown query keys were dropped silently, so `?stat=OPEN` returned the UNFILTERED list and looked like it had worked — a filter typo silently widened the result set. makeRepo now takes `filterable`; anything outside it (plus the shared limit/offset/q/sort vocabulary) is 422 UNKNOWN_FILTER naming the key and listing what is available. Declared on the 16 repos that use makeRepo's list unchanged — that list only ever honoured limit/offset/q, so every other key was already being ignored, which IS the finding. Repos that override list() keep current behaviour until their filters are declared, so nothing that works today breaks.</t>
        </is>
      </c>
    </row>
    <row r="115" ht="15" customHeight="1" s="25">
      <c r="A115" s="27" t="inlineStr">
        <is>
          <t>API-F29</t>
        </is>
      </c>
      <c r="B115" s="28" t="inlineStr">
        <is>
          <t>API Contract</t>
        </is>
      </c>
      <c r="C115" s="28" t="inlineStr">
        <is>
          <t>Sorting is not exposed anywhere</t>
        </is>
      </c>
      <c r="D115" s="33" t="inlineStr">
        <is>
          <t>Medium</t>
        </is>
      </c>
      <c r="E115" s="28" t="inlineStr">
        <is>
          <t>Additive</t>
        </is>
      </c>
      <c r="F115" s="28" t="inlineStr">
        <is>
          <t>Fixed</t>
        </is>
      </c>
      <c r="G115" s="28" t="inlineStr">
        <is>
          <t>Verified in code</t>
        </is>
      </c>
      <c r="H115" s="48" t="inlineStr">
        <is>
          <t>No endpoint accepted a sort parameter; order was fixed at makeRepo config time, so any consumer wanting a different order fetched and sorted client-side — and by F-26/F-27 that meant sorting a truncated 50-row window, i.e. sorting the wrong rows. `?sort=col` / `?sort=-col` now resolves through an explicit `sortable` allow-list (declared on all 24 makeRepo repos), validated and quoted via query-helpers.ident. An unlisted column is 422 INVALID_SORT listing what is sortable — refused, never interpolated, because ORDER BY built from user input is exactly the injection SEC H3 closed.</t>
        </is>
      </c>
    </row>
    <row r="116" ht="15" customHeight="1" s="25">
      <c r="A116" s="27" t="inlineStr">
        <is>
          <t>API-F5</t>
        </is>
      </c>
      <c r="B116" s="28" t="inlineStr">
        <is>
          <t>API Contract</t>
        </is>
      </c>
      <c r="C116" s="28" t="inlineStr">
        <is>
          <t>188 error codes, no registry</t>
        </is>
      </c>
      <c r="D116" s="34" t="inlineStr">
        <is>
          <t>Low</t>
        </is>
      </c>
      <c r="E116" s="28" t="inlineStr">
        <is>
          <t>Docs</t>
        </is>
      </c>
      <c r="F116" s="28" t="inlineStr">
        <is>
          <t>Fixed</t>
        </is>
      </c>
      <c r="G116" s="28" t="inlineStr">
        <is>
          <t>Verified in code</t>
        </is>
      </c>
      <c r="H116" s="48" t="inlineStr">
        <is>
          <t>doc/ERROR_CODES.md, GENERATED from source by scripts/generate-api-docs.js: 219 AppError codes with raise counts and HTTP statuses, plus the shared error-envelope shape. The six near-synonyms the audit named (BAD_AMOUNT/INVALID_AMOUNT, BAD_STATE/BAD_STATUS, EMPLOYEE_NOT_FOUND/NOT_FOUND, FORBIDDEN + NOT_YOURS + NOT_A_MEMBER/PERMISSION_DENIED) are published as ALIASES, deliberately not renamed — a code a client already switches on cannot be changed without breaking it, and enumerating them is the precondition for ever retiring them. `--check` mode fails if the committed file drifts from the code.</t>
        </is>
      </c>
    </row>
    <row r="117" ht="15" customHeight="1" s="25">
      <c r="A117" s="27" t="inlineStr">
        <is>
          <t>API-F13</t>
        </is>
      </c>
      <c r="B117" s="28" t="inlineStr">
        <is>
          <t>API Contract</t>
        </is>
      </c>
      <c r="C117" s="28" t="inlineStr">
        <is>
          <t>Identity in the body instead of the URL, and inverted nesting</t>
        </is>
      </c>
      <c r="D117" s="34" t="inlineStr">
        <is>
          <t>Low</t>
        </is>
      </c>
      <c r="E117" s="28" t="inlineStr">
        <is>
          <t>Code (BC)</t>
        </is>
      </c>
      <c r="F117" s="28" t="inlineStr">
        <is>
          <t>Open</t>
        </is>
      </c>
      <c r="G117" s="28" t="inlineStr">
        <is>
          <t>As reported</t>
        </is>
      </c>
      <c r="H117" s="28" t="n"/>
    </row>
    <row r="118" ht="15" customHeight="1" s="25">
      <c r="A118" s="27" t="inlineStr">
        <is>
          <t>API-F14</t>
        </is>
      </c>
      <c r="B118" s="28" t="inlineStr">
        <is>
          <t>API Contract</t>
        </is>
      </c>
      <c r="C118" s="28" t="inlineStr">
        <is>
          <t>Reads that are POSTs, and one read that writes</t>
        </is>
      </c>
      <c r="D118" s="34" t="inlineStr">
        <is>
          <t>Low</t>
        </is>
      </c>
      <c r="E118" s="28" t="inlineStr">
        <is>
          <t>Code (BC)</t>
        </is>
      </c>
      <c r="F118" s="28" t="inlineStr">
        <is>
          <t>Open</t>
        </is>
      </c>
      <c r="G118" s="28" t="inlineStr">
        <is>
          <t>As reported</t>
        </is>
      </c>
      <c r="H118" s="28" t="n"/>
    </row>
    <row r="119" ht="23.25" customHeight="1" s="25">
      <c r="A119" s="27" t="inlineStr">
        <is>
          <t>API-F24</t>
        </is>
      </c>
      <c r="B119" s="28" t="inlineStr">
        <is>
          <t>API Contract</t>
        </is>
      </c>
      <c r="C119" s="28" t="inlineStr">
        <is>
          <t>Unauthenticated routes - reviewed, all justified</t>
        </is>
      </c>
      <c r="D119" s="34" t="inlineStr">
        <is>
          <t>Low</t>
        </is>
      </c>
      <c r="E119" s="28" t="inlineStr">
        <is>
          <t>No action (positive finding)</t>
        </is>
      </c>
      <c r="F119" s="36" t="inlineStr">
        <is>
          <t>Closed</t>
        </is>
      </c>
      <c r="G119" s="28" t="inlineStr">
        <is>
          <t>As reported</t>
        </is>
      </c>
      <c r="H119" s="28" t="n"/>
    </row>
    <row r="120" ht="23.25" customHeight="1" s="25">
      <c r="A120" s="27" t="inlineStr">
        <is>
          <t>PERF-S1</t>
        </is>
      </c>
      <c r="B120" s="28" t="inlineStr">
        <is>
          <t>Perf &amp; Architecture</t>
        </is>
      </c>
      <c r="C120" s="28" t="inlineStr">
        <is>
          <t>Tenant connection model caps the product at ~12 active tenants per API process</t>
        </is>
      </c>
      <c r="D120" s="29" t="inlineStr">
        <is>
          <t>Critical</t>
        </is>
      </c>
      <c r="E120" s="28" t="inlineStr">
        <is>
          <t>Structural</t>
        </is>
      </c>
      <c r="F120" s="28" t="inlineStr">
        <is>
          <t>Fixed</t>
        </is>
      </c>
      <c r="G120" s="31" t="inlineStr">
        <is>
          <t>Verified</t>
        </is>
      </c>
      <c r="H120" s="28" t="inlineStr">
        <is>
          <t>registry.service: LRU pool cache (TENANT_POOL_CACHE_MAX=24, drains the least recently used), min:0 + idleTimeoutMillis so a quiet tenant holds zero backend connections, connectionTimeoutMillis so a saturated pool fails visibly instead of hanging, and a PgBouncer seam (TENANT_DB_POOLER_HOST/PORT) for the ladder DB_ARCHITECTURE.md:46 documented but never built. Per-request pinning (S2) cuts demand 3x on its own. Exercised the REAL module with pg stubbed: cap 3, warmed 5 -&gt; 2 evicted; touched t3 then warmed t6 -&gt; t4 evicted, t3 survived. Pool count exposed on /api/health/ready as tenant_pools (reported, never fatal - shedding a busy instance sends its traffic to equally busy siblings).</t>
        </is>
      </c>
    </row>
    <row r="121" ht="15" customHeight="1" s="25">
      <c r="A121" s="27" t="inlineStr">
        <is>
          <t>PERF-S2</t>
        </is>
      </c>
      <c r="B121" s="28" t="inlineStr">
        <is>
          <t>Perf &amp; Architecture</t>
        </is>
      </c>
      <c r="C121" s="28" t="inlineStr">
        <is>
          <t>Three pool checkouts and three SET search_path round-trips per request</t>
        </is>
      </c>
      <c r="D121" s="29" t="inlineStr">
        <is>
          <t>Critical</t>
        </is>
      </c>
      <c r="E121" s="28" t="inlineStr">
        <is>
          <t>Structural</t>
        </is>
      </c>
      <c r="F121" s="28" t="inlineStr">
        <is>
          <t>Fixed</t>
        </is>
      </c>
      <c r="G121" s="28" t="inlineStr">
        <is>
          <t>Verified</t>
        </is>
      </c>
      <c r="H121" s="28" t="inlineStr">
        <is>
          <t>tenant-context pins ONE connection per request, acquired lazily on first use and released on res finish AND close. search_path is now a startup parameter (`options: -c search_path=...`) and re-issued only when the schema actually changes. Measured on a pg-semantics model, 100 requests: LIVE went 300 checkouts + 300 SET -&gt; 100 checkouts + 0 SET; sandbox 600 round-trips -&gt; 299. Effective in-flight requests per tenant at pool_max 8: 2.7 -&gt; 8. Verified first that nothing runs req.tenantDb calls concurrently (no Promise.all over them in src/), so sharing a client changes no behaviour.</t>
        </is>
      </c>
    </row>
    <row r="122" ht="23.25" customHeight="1" s="25">
      <c r="A122" s="27" t="inlineStr">
        <is>
          <t>PERF-S3</t>
        </is>
      </c>
      <c r="B122" s="28" t="inlineStr">
        <is>
          <t>Perf &amp; Architecture</t>
        </is>
      </c>
      <c r="C122" s="28" t="inlineStr">
        <is>
          <t>123 of 126 tables sort by an unindexed created_at - 462x speedup available</t>
        </is>
      </c>
      <c r="D122" s="29" t="inlineStr">
        <is>
          <t>Critical</t>
        </is>
      </c>
      <c r="E122" s="28" t="inlineStr">
        <is>
          <t>Quick win</t>
        </is>
      </c>
      <c r="F122" s="30" t="inlineStr">
        <is>
          <t>Fixed</t>
        </is>
      </c>
      <c r="G122" s="31" t="inlineStr">
        <is>
          <t>Verified in code</t>
        </is>
      </c>
      <c r="H122" s="28" t="inlineStr">
        <is>
          <t>Migration 0496 adds a created_at index to all 127 tenant tables that declare one (DDL-parsed: zero were indexed). Measured 462x. Plain CREATE INDEX because the migrator's multi-statement query is an implicit transaction block, where CONCURRENTLY cannot run. Targets verified against the DDL — but NOT YET EXECUTED. Commit 537a4af.</t>
        </is>
      </c>
    </row>
    <row r="123" ht="15" customHeight="1" s="25">
      <c r="A123" s="27" t="inlineStr">
        <is>
          <t>PERF-S4</t>
        </is>
      </c>
      <c r="B123" s="28" t="inlineStr">
        <is>
          <t>Perf &amp; Architecture</t>
        </is>
      </c>
      <c r="C123" s="28" t="inlineStr">
        <is>
          <t>Per-request recursive CTE over an unindexed tree (scope.parent_scope_id)</t>
        </is>
      </c>
      <c r="D123" s="32" t="inlineStr">
        <is>
          <t>High</t>
        </is>
      </c>
      <c r="E123" s="28" t="inlineStr">
        <is>
          <t>Quick + structural</t>
        </is>
      </c>
      <c r="F123" s="28" t="inlineStr">
        <is>
          <t>Fixed</t>
        </is>
      </c>
      <c r="G123" s="28" t="inlineStr">
        <is>
          <t>Verified</t>
        </is>
      </c>
      <c r="H123" s="28" t="inlineStr">
        <is>
          <t>The index half arrived with 0500 (idx_scope_parent_scope_id) - the audit measured 14.78ms -&gt; 0.92ms at 19,510 nodes from the index alone. The structural half is here: getUserScopeClosure is now cached. The original comment's refusal to cache was RIGHT about the risk (a re-parent leaves every descendant user stale) and wrong about the frequency - it reasoned that approval decisions are rare, but requirePermission calls this on EVERY permission-gated request. Solved by invalidating on the TREE, not the user: a monotonic version counter is folded into the cache key and every scope/user_scope write INCRs it, retiring every cached closure for the tenant in one command with no scan and no stale window. Wired into all 5 write sites in scope.service and scope.members. Proven: 20 requests -&gt; 1 CTE; 3 users x 10 -&gt; 2 CTEs; a re-parent without the bump returns the stale closure (reproducing the original objection), and bumpScopeVersion() makes it fresh; other tenants untouched.</t>
        </is>
      </c>
    </row>
    <row r="124" ht="15" customHeight="1" s="25">
      <c r="A124" s="27" t="inlineStr">
        <is>
          <t>PERF-S5</t>
        </is>
      </c>
      <c r="B124" s="28" t="inlineStr">
        <is>
          <t>Perf &amp; Architecture</t>
        </is>
      </c>
      <c r="C124" s="28" t="inlineStr">
        <is>
          <t>Notification fan-out is an N+1 inside the business transaction</t>
        </is>
      </c>
      <c r="D124" s="32" t="inlineStr">
        <is>
          <t>High</t>
        </is>
      </c>
      <c r="E124" s="28" t="inlineStr">
        <is>
          <t>Structural</t>
        </is>
      </c>
      <c r="F124" s="28" t="inlineStr">
        <is>
          <t>Fixed</t>
        </is>
      </c>
      <c r="G124" s="28" t="inlineStr">
        <is>
          <t>Verified</t>
        </is>
      </c>
      <c r="H124" s="28" t="inlineStr">
        <is>
          <t>New repo.preferencesFor / insertForUsers / activeEmailsFor and service.notifyMany. The fan-out called notify() per recipient, each issuing ~5 queries — for 50 finance users on invoice.posted (a normal path, it is on the allowlist) that is ~250 SEQUENTIAL round-trips while holding a write transaction open, pinning one of eight pooled connections and extending the lock window on the business row. Now a fixed 4 queries regardless of recipient count: one preference read for everyone across both channels, one multi-row INSERT via unnest (parameterised, so the statement text does not change with recipient count and the plan cache still works), one address lookup. MEASURED: 50 recipients went from ~250 round-trips to 2. Email/push sends deliberately stay in the caller's transaction — moving them out means deciding what happens when the transaction rolls back after an email has gone, which is a correctness question and a separate change.</t>
        </is>
      </c>
    </row>
    <row r="125" ht="15" customHeight="1" s="25">
      <c r="A125" s="27" t="inlineStr">
        <is>
          <t>PERF-S6</t>
        </is>
      </c>
      <c r="B125" s="28" t="inlineStr">
        <is>
          <t>Perf &amp; Architecture</t>
        </is>
      </c>
      <c r="C125" s="28" t="inlineStr">
        <is>
          <t>Every write pays 4-6 extra sequential round-trips</t>
        </is>
      </c>
      <c r="D125" s="32" t="inlineStr">
        <is>
          <t>High</t>
        </is>
      </c>
      <c r="E125" s="28" t="inlineStr">
        <is>
          <t>Quick win</t>
        </is>
      </c>
      <c r="F125" s="28" t="inlineStr">
        <is>
          <t>Fixed</t>
        </is>
      </c>
      <c r="G125" s="28" t="inlineStr">
        <is>
          <t>Verified</t>
        </is>
      </c>
      <c r="H125" s="28" t="inlineStr">
        <is>
          <t>emitEvent's first act on every create/update/archive across 93 modules was a SELECT on event_type — a STATIC SEEDED CATALOGUE, read on every single write and never cached. Now an in-process cache keyed by (tenant, key), because event_type is a tenant table and a global cache would let one tenant's catalogue answer another's question — the same mistake PERF S9 was about. 5-minute TTL so a process running since before a seeding migration notices within a deploy cycle; unknown keys cache as null too, since a nonexistent event type is a stable fact and not caching it leaves the hot path uncached for exactly the keys someone typo'd. Bounded at 5000 entries. MEASURED: 100 writes of the same event type went from 100 catalogue reads to 1, and a second tenant correctly missed.</t>
        </is>
      </c>
    </row>
    <row r="126" ht="15" customHeight="1" s="25">
      <c r="A126" s="27" t="inlineStr">
        <is>
          <t>PERF-S7</t>
        </is>
      </c>
      <c r="B126" s="28" t="inlineStr">
        <is>
          <t>Perf &amp; Architecture</t>
        </is>
      </c>
      <c r="C126" s="28" t="inlineStr">
        <is>
          <t>No HTTP compression anywhere in the stack</t>
        </is>
      </c>
      <c r="D126" s="32" t="inlineStr">
        <is>
          <t>High</t>
        </is>
      </c>
      <c r="E126" s="28" t="inlineStr">
        <is>
          <t>Quick win</t>
        </is>
      </c>
      <c r="F126" s="28" t="inlineStr">
        <is>
          <t>Fixed</t>
        </is>
      </c>
      <c r="G126" s="28" t="inlineStr">
        <is>
          <t>Verified</t>
        </is>
      </c>
      <c r="H126" s="28" t="inlineStr">
        <is>
          <t>`compression` was a declared dependency mounted nowhere, and no proxy-level compression is documented either. Mounted before routes and static so it covers both JSON responses and the 1,318 KB of SPA assets, with the standard x-no-compression opt-out (and a note for whoever adds SSE later, since buffering breaks event streams). Proven end-to-end against a real Express server: content-encoding: gzip on a list response, absent when the opt-out header is sent. On a representative 50-row list payload the reduction measured 95.9% (14,859 -&gt; 606 bytes); the audit measured 86.8% on its own sample.</t>
        </is>
      </c>
    </row>
    <row r="127" ht="15" customHeight="1" s="25">
      <c r="A127" s="27" t="inlineStr">
        <is>
          <t>PERF-S8</t>
        </is>
      </c>
      <c r="B127" s="28" t="inlineStr">
        <is>
          <t>Perf &amp; Architecture</t>
        </is>
      </c>
      <c r="C127" s="28" t="inlineStr">
        <is>
          <t>The entire frontend loads on first paint; code splitting is cosmetic</t>
        </is>
      </c>
      <c r="D127" s="32" t="inlineStr">
        <is>
          <t>High</t>
        </is>
      </c>
      <c r="E127" s="28" t="inlineStr">
        <is>
          <t>Quick win</t>
        </is>
      </c>
      <c r="F127" s="28" t="inlineStr">
        <is>
          <t>Open</t>
        </is>
      </c>
      <c r="G127" s="28" t="inlineStr">
        <is>
          <t>As reported</t>
        </is>
      </c>
      <c r="H127" s="28" t="n"/>
    </row>
    <row r="128" ht="15" customHeight="1" s="25">
      <c r="A128" s="27" t="inlineStr">
        <is>
          <t>PERF-S9</t>
        </is>
      </c>
      <c r="B128" s="28" t="inlineStr">
        <is>
          <t>Perf &amp; Architecture</t>
        </is>
      </c>
      <c r="C128" s="28" t="inlineStr">
        <is>
          <t>invalidateGrants() blocks Redis and flushes every tenant</t>
        </is>
      </c>
      <c r="D128" s="32" t="inlineStr">
        <is>
          <t>High</t>
        </is>
      </c>
      <c r="E128" s="28" t="inlineStr">
        <is>
          <t>Quick win</t>
        </is>
      </c>
      <c r="F128" s="28" t="inlineStr">
        <is>
          <t>Fixed</t>
        </is>
      </c>
      <c r="G128" s="28" t="inlineStr">
        <is>
          <t>Verified</t>
        </is>
      </c>
      <c r="H128" s="28" t="inlineStr">
        <is>
          <t>Two changes. Keys are tenant-namespaced (identity:&lt;tenant&gt;:grants:...) from the AsyncLocalStorage context, so one tenant's permission edit no longer flushes the RBAC cache for every tenant on the deployment; background work with no tenant lands under `_`. And KEYS - O(N) over the whole keyspace, blocking the main thread that also serves BullMQ, sessions and rate limiting - is replaced by cursor-based SCAN with batched DEL, because swapping a blocking KEYS for a blocking 50k-argument DEL would have fixed nothing. invalidateGrants({allTenants:true}) still exists for a genuine platform-level change and must be asked for. Proven on a command-recording fake: one tenant's invalidation issues SCAN (never KEYS), clears its own 4 grant keys, leaves the other 8 across two tenants intact, and leaves its own auth key alone.</t>
        </is>
      </c>
    </row>
    <row r="129" ht="15" customHeight="1" s="25">
      <c r="A129" s="27" t="inlineStr">
        <is>
          <t>PERF-S10</t>
        </is>
      </c>
      <c r="B129" s="28" t="inlineStr">
        <is>
          <t>Perf &amp; Architecture</t>
        </is>
      </c>
      <c r="C129" s="28" t="inlineStr">
        <is>
          <t>hostCache is unbounded and keyed by attacker-controlled input</t>
        </is>
      </c>
      <c r="D129" s="32" t="inlineStr">
        <is>
          <t>High</t>
        </is>
      </c>
      <c r="E129" s="28" t="inlineStr">
        <is>
          <t>Quick win</t>
        </is>
      </c>
      <c r="F129" s="28" t="inlineStr">
        <is>
          <t>Fixed</t>
        </is>
      </c>
      <c r="G129" s="28" t="inlineStr">
        <is>
          <t>Verified</t>
        </is>
      </c>
      <c r="H129" s="28" t="inlineStr">
        <is>
          <t>hostCache is keyed by the Host header - attacker-controlled - and was never evicted, so every junk host allocated a permanent entry plus one platform-DB query. Now capped (HOST_CACHE_MAX, default 5000) with expiry sweep + LRU eviction, and a MISS caches for 10s rather than 60s because an unresolved host is far more likely to be a scanner. Negative caching is kept deliberately - it is what stops the repeat query. Proven: 500 distinct junk hosts leave the cache at exactly 100 of a cap of 100; 50 repeats of one junk host cost 0 queries; a real host still resolves once. Occupancy exposed on /api/health/ready so the bound is observable.</t>
        </is>
      </c>
    </row>
    <row r="130" ht="15" customHeight="1" s="25">
      <c r="A130" s="27" t="inlineStr">
        <is>
          <t>PERF-S11</t>
        </is>
      </c>
      <c r="B130" s="28" t="inlineStr">
        <is>
          <t>Perf &amp; Architecture</t>
        </is>
      </c>
      <c r="C130" s="28" t="inlineStr">
        <is>
          <t>13 BullMQ workers share a single Redis connection</t>
        </is>
      </c>
      <c r="D130" s="32" t="inlineStr">
        <is>
          <t>High</t>
        </is>
      </c>
      <c r="E130" s="28" t="inlineStr">
        <is>
          <t>Structural</t>
        </is>
      </c>
      <c r="F130" s="28" t="inlineStr">
        <is>
          <t>Fixed</t>
        </is>
      </c>
      <c r="G130" s="28" t="inlineStr">
        <is>
          <t>Verified</t>
        </is>
      </c>
      <c r="H130" s="28" t="inlineStr">
        <is>
          <t>All 13 BullMQ workers were handed getClient(), the single shared ioredis client. Workers block on BZPOPMIN/BRPOPLPUSH, so they serialised against each other AND stalled the identity cache and rate limiter sharing that socket. config/redis now exports createConnection(label), which builds a dedicated connection, wires its error/connect logging and tracks it so closeRedis shuts it down; workers.js takes one per worker instead of hoisting the shared client.</t>
        </is>
      </c>
    </row>
    <row r="131" ht="15" customHeight="1" s="25">
      <c r="A131" s="27" t="inlineStr">
        <is>
          <t>PERF-S12</t>
        </is>
      </c>
      <c r="B131" s="28" t="inlineStr">
        <is>
          <t>Perf &amp; Architecture</t>
        </is>
      </c>
      <c r="C131" s="28" t="inlineStr">
        <is>
          <t>Socket.IO has no Redis adapter - realtime is single-process only</t>
        </is>
      </c>
      <c r="D131" s="32" t="inlineStr">
        <is>
          <t>High</t>
        </is>
      </c>
      <c r="E131" s="28" t="inlineStr">
        <is>
          <t>Structural</t>
        </is>
      </c>
      <c r="F131" s="28" t="inlineStr">
        <is>
          <t>Fixed</t>
        </is>
      </c>
      <c r="G131" s="28" t="inlineStr">
        <is>
          <t>Verified</t>
        </is>
      </c>
      <c r="H131" s="28" t="inlineStr">
        <is>
          <t>config/redis documents 'Pub/Sub coordination across Socket.io workers (redis adapter)' and creates the publisher/subscriber pair; no adapter was ever attached, so io.to(room).emit() reached only sockets on the same Node process. Invisible on one replica, a silent correctness failure on two - and the PERF S1 fix makes more replicas the answer to the tenant ceiling, so relieving one problem would have created this one. createAdapter attached with DEDICATED connections (a subscriber-mode socket can issue nothing but SUBSCRIBE, so the shared client would break every other user of it). @socket.io/redis-adapter added to package.json. Degrades with a loud warning rather than failing to start if the package is missing.</t>
        </is>
      </c>
    </row>
    <row r="132" ht="15" customHeight="1" s="25">
      <c r="A132" s="27" t="inlineStr">
        <is>
          <t>PERF-S13</t>
        </is>
      </c>
      <c r="B132" s="28" t="inlineStr">
        <is>
          <t>Perf &amp; Architecture</t>
        </is>
      </c>
      <c r="C132" s="28" t="inlineStr">
        <is>
          <t>A full Chromium process is spawned per PDF</t>
        </is>
      </c>
      <c r="D132" s="33" t="inlineStr">
        <is>
          <t>Medium</t>
        </is>
      </c>
      <c r="E132" s="28" t="inlineStr">
        <is>
          <t>Structural</t>
        </is>
      </c>
      <c r="F132" s="28" t="inlineStr">
        <is>
          <t>Open</t>
        </is>
      </c>
      <c r="G132" s="28" t="inlineStr">
        <is>
          <t>As reported</t>
        </is>
      </c>
      <c r="H132" s="28" t="n"/>
    </row>
    <row r="133" ht="15" customHeight="1" s="25">
      <c r="A133" s="27" t="inlineStr">
        <is>
          <t>PERF-S14</t>
        </is>
      </c>
      <c r="B133" s="28" t="inlineStr">
        <is>
          <t>Perf &amp; Architecture</t>
        </is>
      </c>
      <c r="C133" s="28" t="inlineStr">
        <is>
          <t>Context providers defeat memoization app-wide</t>
        </is>
      </c>
      <c r="D133" s="33" t="inlineStr">
        <is>
          <t>Medium</t>
        </is>
      </c>
      <c r="E133" s="28" t="inlineStr">
        <is>
          <t>Quick win</t>
        </is>
      </c>
      <c r="F133" s="28" t="inlineStr">
        <is>
          <t>Fixed</t>
        </is>
      </c>
      <c r="G133" s="28" t="inlineStr">
        <is>
          <t>Verified in code</t>
        </is>
      </c>
      <c r="H133" s="48" t="inlineStr">
        <is>
          <t>auth-context.tsx passed an inline object literal as the provider value containing six handlers re-created on every render, so every render of AuthProvider produced a new context identity and re-rendered every consumer — and with zero React.memo across 134 components there was nothing to arrest the cascade. AuthProvider wraps the whole app, so that is every render of everything. The handlers are now useCallback'd and the value useMemo'd, so identity changes only when auth state genuinely does. branding-context.tsx had the same shape and gets the same treatment. CORRECTION 2026-08-05: the first pass gave ALL SIX handlers an empty dep array, and two of them read render state — verify2fa reads pendingToken, registerPin reads user. Empty arrays capture the first render's values forever, both of which are null: verify2fa would have sent pending_token: null so 2FA could never complete, and registerPin's `if (user)` branch would never run, so the server would register a PIN device the browser never recorded and the next PIN login would fail NO_PIN_DEVICE against a device that exists. A stale-closure bug in the auth path, introduced by this fix and caught by eslint react-hooks/exhaustive-deps, which the same session's CI run surfaced. Both now carry their dependency; the other four are genuinely stable and stay []. acceptTokens is deliberately not a dep — it closes over nothing from render scope, and listing it would make three handlers unstable every render and undo S14 for no behavioural gain. The comment in the file that asserted all six were stable has been corrected — it had become a description of code that no longer matched. eslint clean on the file; client tsc --noEmit clean.</t>
        </is>
      </c>
    </row>
    <row r="134" ht="15" customHeight="1" s="25">
      <c r="A134" s="27" t="inlineStr">
        <is>
          <t>PERF-S15</t>
        </is>
      </c>
      <c r="B134" s="28" t="inlineStr">
        <is>
          <t>Perf &amp; Architecture</t>
        </is>
      </c>
      <c r="C134" s="28" t="inlineStr">
        <is>
          <t>No client-side request cache; unconditional refetch and background polling</t>
        </is>
      </c>
      <c r="D134" s="33" t="inlineStr">
        <is>
          <t>Medium</t>
        </is>
      </c>
      <c r="E134" s="28" t="inlineStr">
        <is>
          <t>Quick win</t>
        </is>
      </c>
      <c r="F134" s="28" t="inlineStr">
        <is>
          <t>Fixed</t>
        </is>
      </c>
      <c r="G134" s="28" t="inlineStr">
        <is>
          <t>Verified in code</t>
        </is>
      </c>
      <c r="H134" s="48" t="inlineStr">
        <is>
          <t>HALF OF THIS WAS ALREADY DONE and the register did not say so: client/src/lib/use-resource.ts is no longer the hand-rolled hook the audit describes — it has been migrated to TanStack Query (staleTime 30s, gcTime 5m, refetchOnWindowFocus), so caching, request dedup and stale-while-revalidate are in place across all 150+ call sites. What remained was the second half: app-shell.tsx's badge poller, a raw setInterval(load, 60000) OUTSIDE the cache, two requests per user per minute forever — the audit's arithmetic puts that at ~33 req/s of pure badge polling at 1,000 users and ~230 DB round-trips/second, on a topology with a 12-connection-per-tenant ceiling. Now a useQuery with refetchInterval 60s, refetchIntervalInBackground FALSE (most of that traffic was tabs nobody was looking at) and staleTime 30s, so the two requests are deduplicated across every component wanting a badge. refetchOnWindowFocus means returning to the tab refreshes immediately, so the badge is fresher on return while costing less in between. env is in the query key so a LIVE/TEST flip reads the right counts.</t>
        </is>
      </c>
    </row>
    <row r="135" ht="15" customHeight="1" s="25">
      <c r="A135" s="27" t="inlineStr">
        <is>
          <t>PERF-S16</t>
        </is>
      </c>
      <c r="B135" s="28" t="inlineStr">
        <is>
          <t>Perf &amp; Architecture</t>
        </is>
      </c>
      <c r="C135" s="28" t="inlineStr">
        <is>
          <t>Leading-wildcard ILIKE search guarantees a full scan</t>
        </is>
      </c>
      <c r="D135" s="33" t="inlineStr">
        <is>
          <t>Medium</t>
        </is>
      </c>
      <c r="E135" s="28" t="inlineStr">
        <is>
          <t>Quick win</t>
        </is>
      </c>
      <c r="F135" s="28" t="inlineStr">
        <is>
          <t>Fixed</t>
        </is>
      </c>
      <c r="G135" s="28" t="inlineStr">
        <is>
          <t>Verified in code</t>
        </is>
      </c>
      <c r="H135" s="48" t="inlineStr">
        <is>
          <t>migrations/tenant/0504, part 2. pg_trgm GIN indexes on the 41 (table, column) pairs reachable by ILIKE — the 8 declared via makeRepo searchColumn plus 33 hand-rolled in module repos. A leading wildcard cannot use a B-tree, so every free-text search was a sequential scan; the audit measured 66.96ms -&gt; 4.55ms (14.7x) with no query rewrite, since the same SQL simply becomes indexable. The pair list was derived by static analysis and a `col ILIKE` inside a joining function cannot always be attributed to the right table from source alone, so rather than ship a list I could not fully verify — and fail the migration for every tenant on the first wrong pair — each index is created only if the column exists and is a text type, with a NOTICE naming any pair that does not resolve. That is explicitly NOT `EXCEPTION WHEN OTHERS THEN NULL` (DATA 3.6): the precondition is tested, and anything unexpected still aborts.</t>
        </is>
      </c>
    </row>
    <row r="136" ht="15" customHeight="1" s="25">
      <c r="A136" s="27" t="inlineStr">
        <is>
          <t>PERF-S17</t>
        </is>
      </c>
      <c r="B136" s="28" t="inlineStr">
        <is>
          <t>Perf &amp; Architecture</t>
        </is>
      </c>
      <c r="C136" s="28" t="inlineStr">
        <is>
          <t>OFFSET pagination degrades and spills to disk</t>
        </is>
      </c>
      <c r="D136" s="33" t="inlineStr">
        <is>
          <t>Medium</t>
        </is>
      </c>
      <c r="E136" s="28" t="inlineStr">
        <is>
          <t>Structural (BC)</t>
        </is>
      </c>
      <c r="F136" s="28" t="inlineStr">
        <is>
          <t>Open</t>
        </is>
      </c>
      <c r="G136" s="28" t="inlineStr">
        <is>
          <t>As reported</t>
        </is>
      </c>
      <c r="H136" s="28" t="n"/>
    </row>
    <row r="137" ht="15" customHeight="1" s="25">
      <c r="A137" s="27" t="inlineStr">
        <is>
          <t>PERF-S18</t>
        </is>
      </c>
      <c r="B137" s="28" t="inlineStr">
        <is>
          <t>Perf &amp; Architecture</t>
        </is>
      </c>
      <c r="C137" s="28" t="inlineStr">
        <is>
          <t>No global rate limiting - noisy-neighbour risk across tenants</t>
        </is>
      </c>
      <c r="D137" s="33" t="inlineStr">
        <is>
          <t>Medium</t>
        </is>
      </c>
      <c r="E137" s="28" t="inlineStr">
        <is>
          <t>Quick win</t>
        </is>
      </c>
      <c r="F137" s="28" t="inlineStr">
        <is>
          <t>Open</t>
        </is>
      </c>
      <c r="G137" s="28" t="inlineStr">
        <is>
          <t>As reported</t>
        </is>
      </c>
      <c r="H137" s="28" t="n"/>
    </row>
    <row r="138" ht="15" customHeight="1" s="25">
      <c r="A138" s="27" t="inlineStr">
        <is>
          <t>PERF-S19</t>
        </is>
      </c>
      <c r="B138" s="28" t="inlineStr">
        <is>
          <t>Perf &amp; Architecture</t>
        </is>
      </c>
      <c r="C138" s="28" t="inlineStr">
        <is>
          <t>50 repos hand-roll an SQL builder that already exists</t>
        </is>
      </c>
      <c r="D138" s="34" t="inlineStr">
        <is>
          <t>Low</t>
        </is>
      </c>
      <c r="E138" s="28" t="inlineStr">
        <is>
          <t>Quick win</t>
        </is>
      </c>
      <c r="F138" s="28" t="inlineStr">
        <is>
          <t>Fixed</t>
        </is>
      </c>
      <c r="G138" s="28" t="inlineStr">
        <is>
          <t>Verified in code</t>
        </is>
      </c>
      <c r="H138" s="48" t="inlineStr">
        <is>
          <t>The identical hand-rolled `update()` SET builder was copy-pasted into 46 module repos. All 46 now call query-helpers.updateOne; zero remain (verified by grep). 39 were converted by a codemod that refuses anything it does not recognise exactly, and the 7 it reported were done by hand — including three genuinely different shapes (an arrow returning a promise chain, an object method using `this`, and one whose RETURNING is a module constant). updateOne gained an `opts.touch` option because appending `, updated_at = now()` was the sole reason most of them existed. Generated SQL verified byte-equivalent to the originals apart from identifier quoting.</t>
        </is>
      </c>
    </row>
    <row r="139" ht="15" customHeight="1" s="25">
      <c r="A139" s="27" t="inlineStr">
        <is>
          <t>PERF-S20</t>
        </is>
      </c>
      <c r="B139" s="28" t="inlineStr">
        <is>
          <t>Perf &amp; Architecture</t>
        </is>
      </c>
      <c r="C139" s="28" t="inlineStr">
        <is>
          <t>SQL identifiers are interpolated from object keys with no enforcement</t>
        </is>
      </c>
      <c r="D139" s="34" t="inlineStr">
        <is>
          <t>Low</t>
        </is>
      </c>
      <c r="E139" s="28" t="inlineStr">
        <is>
          <t>Structural</t>
        </is>
      </c>
      <c r="F139" s="28" t="inlineStr">
        <is>
          <t>Fixed</t>
        </is>
      </c>
      <c r="G139" s="28" t="inlineStr">
        <is>
          <t>Verified in code</t>
        </is>
      </c>
      <c r="H139" s="48" t="inlineStr">
        <is>
          <t>The audit traced no live vulnerability and neither did I — but its point was that the helper should not depend on every caller being careful, and the real finding turned out to be sharper than 'defence in depth'. SEC H3 had already hardened query-helpers with identifier validation and an optional writable allow-list; what nobody had noticed is that the 46 repos in PERF-S19 BYPASSED IT ENTIRELY by building their own SET clause, so the hardening covered only the modules that happened to route through updateOne. Deduplicating those 46 is what makes it universal — S19 is the delivery mechanism for S20, not a separate tidy-up. Also fixed the one identifier still interpolated raw in that file: getById's `pk`. Verified: identifier injection now raises INVALID_FIELD and an out-of-list column raises FIELD_NOT_WRITABLE, on every repo.</t>
        </is>
      </c>
    </row>
    <row r="140" ht="15" customHeight="1" s="25">
      <c r="A140" s="27" t="inlineStr">
        <is>
          <t>TC-C1</t>
        </is>
      </c>
      <c r="B140" s="28" t="inlineStr">
        <is>
          <t>Test &amp; CI/CD</t>
        </is>
      </c>
      <c r="C140" s="28" t="inlineStr">
        <is>
          <t>Multi-tenant isolation (registry.service.js) - 0 of 10 functions covered</t>
        </is>
      </c>
      <c r="D140" s="29" t="inlineStr">
        <is>
          <t>Critical</t>
        </is>
      </c>
      <c r="E140" s="28" t="inlineStr">
        <is>
          <t>Deeper</t>
        </is>
      </c>
      <c r="F140" s="28" t="inlineStr">
        <is>
          <t>Fixed</t>
        </is>
      </c>
      <c r="G140" s="28" t="inlineStr">
        <is>
          <t>Verified</t>
        </is>
      </c>
      <c r="H140" s="28" t="inlineStr">
        <is>
          <t>tests/unit/tenant-registry.test.js — 15 assertions on the tenant boundary itself, stated as things that must never happen: two tenants never share a pool; a connection is never handed out on the wrong schema; a cached host never resolves to another tenant's metadata; an unbounded input never grows an unbounded cache; LRU never evicts the most recently used pool. pg is faked, and the fake RECYCLES released clients like a real pool — the first version minted a fresh client every time, which made the search_path re-bind test pass for the wrong reason (a new client already carries the pool's startup schema and needs no SET). Also asserts the connection is released when the caller's function throws.</t>
        </is>
      </c>
    </row>
    <row r="141" ht="15" customHeight="1" s="25">
      <c r="A141" s="27" t="inlineStr">
        <is>
          <t>TC-C2</t>
        </is>
      </c>
      <c r="B141" s="28" t="inlineStr">
        <is>
          <t>Test &amp; CI/CD</t>
        </is>
      </c>
      <c r="C141" s="28" t="inlineStr">
        <is>
          <t>authMiddleware() uncovered; the patched token-replay fix has no regression test</t>
        </is>
      </c>
      <c r="D141" s="29" t="inlineStr">
        <is>
          <t>Critical</t>
        </is>
      </c>
      <c r="E141" s="28" t="inlineStr">
        <is>
          <t>Quick</t>
        </is>
      </c>
      <c r="F141" s="28" t="inlineStr">
        <is>
          <t>Fixed</t>
        </is>
      </c>
      <c r="G141" s="28" t="inlineStr">
        <is>
          <t>Verified</t>
        </is>
      </c>
      <c r="H141" s="28" t="inlineStr">
        <is>
          <t>tests/unit/auth-middleware.test.js — 17 assertions. The replay regression is the point: refresh and 2fa_pending tokens are signed with the SAME secret as access tokens, so without the typ check either could be presented as a bearer token — a 2fa_pending replay skips the second factor entirely. Tokens are signed with the real jsonwebtoken and the real configured secret, because the thing under test is whether a genuinely valid signature of the wrong TYPE is refused; a stubbed verifier would prove nothing. Also covers deny-by-default on unknown types, the legacy no-typ token still working (or the fix logs out every signed-in user on deploy), TOKEN_EXPIRED vs INVALID_TOKEN being distinguishable (the client refresh flow keys on it), the 500 when tenantContext has not run, OBS-L3 context backfill, SEC-C2 sid, and that no hash or secret reaches req.user.</t>
        </is>
      </c>
    </row>
    <row r="142" ht="15" customHeight="1" s="25">
      <c r="A142" s="27" t="inlineStr">
        <is>
          <t>TC-C3</t>
        </is>
      </c>
      <c r="B142" s="28" t="inlineStr">
        <is>
          <t>Test &amp; CI/CD</t>
        </is>
      </c>
      <c r="C142" s="28" t="inlineStr">
        <is>
          <t>rbacCheck() and ceoCheck() uncovered - enforcement paths never run in a test</t>
        </is>
      </c>
      <c r="D142" s="29" t="inlineStr">
        <is>
          <t>Critical</t>
        </is>
      </c>
      <c r="E142" s="28" t="inlineStr">
        <is>
          <t>Quick</t>
        </is>
      </c>
      <c r="F142" s="28" t="inlineStr">
        <is>
          <t>Fixed</t>
        </is>
      </c>
      <c r="G142" s="28" t="inlineStr">
        <is>
          <t>Verified</t>
        </is>
      </c>
      <c r="H142" s="28" t="inlineStr">
        <is>
          <t>tests/unit/rbac-enforcement.test.js — 32 assertions across requirePermission, requireCapability and requireCeo. Every action-&gt;column pairing is asserted individually, including the deliberate aliases export-&gt;can_read and publish-&gt;can_update, because a refactor that tidies the map by dropping an alias turns a gated export route into an ungated one and nothing else would notice. Also asserts action-authz.js (the AI path, SEC H1) carries an IDENTICAL map, so the two cannot drift into enforcing different rules. FOUND A REAL BUG: requireCeo used `!req.user.is_ceo` and requirePermission used `if (req.user.is_ceo)`, so a truthy non-boolean passed the God Mode gate. All three CEO checks tightened to === true, matching how grants are already compared.</t>
        </is>
      </c>
    </row>
    <row r="143" ht="15" customHeight="1" s="25">
      <c r="A143" s="27" t="inlineStr">
        <is>
          <t>TC-C4</t>
        </is>
      </c>
      <c r="B143" s="28" t="inlineStr">
        <is>
          <t>Test &amp; CI/CD</t>
        </is>
      </c>
      <c r="C143" s="28" t="inlineStr">
        <is>
          <t>identity-cache.js - 0 of 31 functions; grants, scope closure, invalidation</t>
        </is>
      </c>
      <c r="D143" s="29" t="inlineStr">
        <is>
          <t>Critical</t>
        </is>
      </c>
      <c r="E143" s="28" t="inlineStr">
        <is>
          <t>Deeper</t>
        </is>
      </c>
      <c r="F143" s="28" t="inlineStr">
        <is>
          <t>Fixed</t>
        </is>
      </c>
      <c r="G143" s="28" t="inlineStr">
        <is>
          <t>Verified</t>
        </is>
      </c>
      <c r="H143" s="28" t="inlineStr">
        <is>
          <t>tests/unit/identity-cache.test.js — 23 assertions. Covers the three properties that matter: keys do not collide across tenants (PERF S9), the same role set produces the same key regardless of order or duplicates (a duplicate that produced a second key would let a user keep a revoked grant for the TTL), and Redis being down degrades rather than breaking auth — every path is exercised twice, with and without Redis. Asserts invalidation never issues the blocking KEYS command, that a tenant's invalidation leaves other tenants' keys intact, and that the scope-tree bump is exactly ONE INCR regardless of how many users are cached.</t>
        </is>
      </c>
    </row>
    <row r="144" ht="15" customHeight="1" s="25">
      <c r="A144" s="27" t="inlineStr">
        <is>
          <t>TC-D1</t>
        </is>
      </c>
      <c r="B144" s="28" t="inlineStr">
        <is>
          <t>Test &amp; CI/CD</t>
        </is>
      </c>
      <c r="C144" s="28" t="inlineStr">
        <is>
          <t>No rollback; docker image prune -f destroys the previous build</t>
        </is>
      </c>
      <c r="D144" s="29" t="inlineStr">
        <is>
          <t>Critical</t>
        </is>
      </c>
      <c r="E144" s="28" t="inlineStr">
        <is>
          <t>Deeper</t>
        </is>
      </c>
      <c r="F144" s="30" t="inlineStr">
        <is>
          <t>Fixed</t>
        </is>
      </c>
      <c r="G144" s="31" t="inlineStr">
        <is>
          <t>Verified in code</t>
        </is>
      </c>
      <c r="H144" s="28" t="inlineStr">
        <is>
          <t>docker image prune no longer destroys the previous build; KEEP_IMAGES deep.</t>
        </is>
      </c>
    </row>
    <row r="145" ht="15" customHeight="1" s="25">
      <c r="A145" s="27" t="inlineStr">
        <is>
          <t>TC-D2</t>
        </is>
      </c>
      <c r="B145" s="28" t="inlineStr">
        <is>
          <t>Test &amp; CI/CD</t>
        </is>
      </c>
      <c r="C145" s="28" t="inlineStr">
        <is>
          <t>Migrations run pre-roll, no backup, zero down-migrations</t>
        </is>
      </c>
      <c r="D145" s="29" t="inlineStr">
        <is>
          <t>Critical</t>
        </is>
      </c>
      <c r="E145" s="28" t="inlineStr">
        <is>
          <t>Quick / process</t>
        </is>
      </c>
      <c r="F145" s="30" t="inlineStr">
        <is>
          <t>Fixed</t>
        </is>
      </c>
      <c r="G145" s="31" t="inlineStr">
        <is>
          <t>Verified in code</t>
        </is>
      </c>
      <c r="H145" s="28" t="inlineStr">
        <is>
          <t>pg_dump before migrations, fatal if it fails; reversibility convention + CI gate for new migrations.</t>
        </is>
      </c>
    </row>
    <row r="146" ht="15" customHeight="1" s="25">
      <c r="A146" s="27" t="inlineStr">
        <is>
          <t>TC-CI1</t>
        </is>
      </c>
      <c r="B146" s="28" t="inlineStr">
        <is>
          <t>Test &amp; CI/CD</t>
        </is>
      </c>
      <c r="C146" s="28" t="inlineStr">
        <is>
          <t>main is unprotected; 45% direct pushes; each green push auto-deploys</t>
        </is>
      </c>
      <c r="D146" s="29" t="inlineStr">
        <is>
          <t>Critical</t>
        </is>
      </c>
      <c r="E146" s="28" t="inlineStr">
        <is>
          <t>Quick / process</t>
        </is>
      </c>
      <c r="F146" s="28" t="inlineStr">
        <is>
          <t>Partially fixed</t>
        </is>
      </c>
      <c r="G146" s="28" t="inlineStr">
        <is>
          <t>Owner action outstanding</t>
        </is>
      </c>
      <c r="H146" s="28" t="inlineStr">
        <is>
          <t>The code half is done: .github/workflows/deploy.yaml now REFUSES to deploy a commit that reached main without a pull request, checked via the commits/:sha/pulls API, with workflow_dispatch left as the deliberate manual escape hatch so an emergency deploy records who chose it. A direct push is stopped rather than reported, because a warning about a deploy that already happened is not a control. THE SETTINGS HALF IS STILL OWNER ACTION — branch protection on main is a GitHub UI change and cannot be done from the repository; doc/BRANCH_PROTECTION.md has the exact settings. Left as Partially fixed rather than Fixed for that reason.</t>
        </is>
      </c>
    </row>
    <row r="147" ht="15" customHeight="1" s="25">
      <c r="A147" s="27" t="inlineStr">
        <is>
          <t>TC-C5</t>
        </is>
      </c>
      <c r="B147" s="28" t="inlineStr">
        <is>
          <t>Test &amp; CI/CD</t>
        </is>
      </c>
      <c r="C147" s="28" t="inlineStr">
        <is>
          <t>Money services 0% function coverage; only the rules layer is tested</t>
        </is>
      </c>
      <c r="D147" s="32" t="inlineStr">
        <is>
          <t>High</t>
        </is>
      </c>
      <c r="E147" s="28" t="inlineStr">
        <is>
          <t>Deeper</t>
        </is>
      </c>
      <c r="F147" s="28" t="inlineStr">
        <is>
          <t>Fixed</t>
        </is>
      </c>
      <c r="G147" s="28" t="inlineStr">
        <is>
          <t>Verified</t>
        </is>
      </c>
      <c r="H147" s="28" t="inlineStr">
        <is>
          <t>tests/unit/money-path.test.js — 22 assertions running determination.compute FOR REAL against OHADA account codes: balance on every shape, VAT at 19.25% to the centime, receivable on the debit side of a sale (getting it backwards inverts the balance sheet and still balances), debours excluded from the taxable base (taxing it overstates output VAT to the revenue authority — a filing error, not just an invoice error), the purchase mirror, multi-line rounding where each line's VAT rounds independently, no zero-value legs, and all 9 refusal codes. Two of my own assertions were WRONG and the code was stricter than I assumed: toCents refuses sub-centime precision rather than rounding it, and refuses negative amounts rather than posting a contra. Both are better contracts than I expected and the tests now assert the real ones.</t>
        </is>
      </c>
    </row>
    <row r="148" ht="15" customHeight="1" s="25">
      <c r="A148" s="27" t="inlineStr">
        <is>
          <t>TC-C6</t>
        </is>
      </c>
      <c r="B148" s="28" t="inlineStr">
        <is>
          <t>Test &amp; CI/CD</t>
        </is>
      </c>
      <c r="C148" s="28" t="inlineStr">
        <is>
          <t>All 4 integration suites permanently skipped - 11 tests dark in CI</t>
        </is>
      </c>
      <c r="D148" s="32" t="inlineStr">
        <is>
          <t>High</t>
        </is>
      </c>
      <c r="E148" s="28" t="inlineStr">
        <is>
          <t>Deeper</t>
        </is>
      </c>
      <c r="F148" s="28" t="inlineStr">
        <is>
          <t>Fixed</t>
        </is>
      </c>
      <c r="G148" s="28" t="inlineStr">
        <is>
          <t>Verified</t>
        </is>
      </c>
      <c r="H148" s="28" t="inlineStr">
        <is>
          <t>The four integration suites were never disabled by anyone — they self-skip on `!process.env.DATABASE_URL`, and nothing ever set it. journal-posting.test.js says so in its own header: 'Run in CI by adding a postgres service + db:provision, then set these vars.' The new migrations job is exactly that, so it now seeds a corporate_entity and the BQ/VT/AC/OD journals (not seeded by 9000-9060 — they are business data, not reference data) and runs the suites against the real database. The step asserts the PASS COUNT, not just the exit code, because Jest exits 0 on a run where every suite skipped — 'it passed' and 'it ran' are different questions and only one was ever being asked. mail-imap.test.js stays opt-in on live IMAP/SMTP credentials, which is correct: a test that talks to a third-party mail server does not belong in every PR run.</t>
        </is>
      </c>
    </row>
    <row r="149" ht="15" customHeight="1" s="25">
      <c r="A149" s="27" t="inlineStr">
        <is>
          <t>TC-C7</t>
        </is>
      </c>
      <c r="B149" s="28" t="inlineStr">
        <is>
          <t>Test &amp; CI/CD</t>
        </is>
      </c>
      <c r="C149" s="28" t="inlineStr">
        <is>
          <t>WMS/inventory 7.3% functions - no unit or integration coverage</t>
        </is>
      </c>
      <c r="D149" s="32" t="inlineStr">
        <is>
          <t>High</t>
        </is>
      </c>
      <c r="E149" s="28" t="inlineStr">
        <is>
          <t>Deeper</t>
        </is>
      </c>
      <c r="F149" s="28" t="inlineStr">
        <is>
          <t>Fixed</t>
        </is>
      </c>
      <c r="G149" s="28" t="inlineStr">
        <is>
          <t>Verified in code</t>
        </is>
      </c>
      <c r="H149" s="48" t="inlineStr">
        <is>
          <t>tests/unit/wms-inventory.test.js — 35 assertions on inventory.service and outbound.service. The three failures DATA 5.1 describes are concurrency and atomicity failures, so a canned fake would have passed against the BROKEN code just as happily as the fixed code (the objection TC-Q3 raises about the existing regex fakes). This file therefore does NOT mock the repo: it runs the real repo SQL against a small in-memory Postgres implementing per-row FOR UPDATE locks, delta-applied-to-stored-value semantics, the `qty_on_hand + $2 &gt;= 0` guard, and real BEGIN/COMMIT/ROLLBACK. That makes the actual failures testable: two concurrent -5 and -3 moves against 10 end at 2 (not 7 — the reported lost update) and genuinely serialise; two concurrent -6 against 10 let exactly ONE through and leave the balance at 4 with one journal row; twenty interleaved moves keep qty_on_hand equal to the sum of the journal and never negative; moves on DIFFERENT items do not serialise (row lock, not table lock); a failed move releases its lock. Also: the journal write failing rolls the balance back, the event write failing rolls both back, nested moves join one transaction rather than committing it early (DATA 5.2), and both state machines are asserted exhaustively as tables (14 stock transitions, 12 outbound). MUTATION-VERIFIED: restoring the pre-DATA-5.1 read-modify-write move() fails 9 of the 35, including both race tests. Two fixture defects were found and fixed while writing this — a rollback that truncated the journal to a high-water mark (which rolled back a CONCURRENT transaction's committed work) and a non-re-entrant row lock that self-deadlocked nested moves; both are commented in place.</t>
        </is>
      </c>
    </row>
    <row r="150" ht="15" customHeight="1" s="25">
      <c r="A150" s="27" t="inlineStr">
        <is>
          <t>TC-C8</t>
        </is>
      </c>
      <c r="B150" s="28" t="inlineStr">
        <is>
          <t>Test &amp; CI/CD</t>
        </is>
      </c>
      <c r="C150" s="28" t="inlineStr">
        <is>
          <t>Orchestration outbox 0% - at-least-once idempotency unverified</t>
        </is>
      </c>
      <c r="D150" s="32" t="inlineStr">
        <is>
          <t>High</t>
        </is>
      </c>
      <c r="E150" s="28" t="inlineStr">
        <is>
          <t>Deeper</t>
        </is>
      </c>
      <c r="F150" s="28" t="inlineStr">
        <is>
          <t>Fixed</t>
        </is>
      </c>
      <c r="G150" s="28" t="inlineStr">
        <is>
          <t>Verified in code</t>
        </is>
      </c>
      <c r="H150" s="48" t="inlineStr">
        <is>
          <t>tests/unit/orchestration-outbox.test.js — all 10 assertions now pass end to end (previously 7-8 then an undiagnosed hang, which is why this was left Partially fixed). THE HANG WAS NOT A HANG. `jest.resetModules()` in beforeEach made every one of the ten tests rebuild the dispatcher's require graph, which is 171 modules because dispatcher.js requires ./handlers at load. Measured: ~6s per rebuild on a mounted filesystem, ~8.3s cold — ten tests is ~60s, so the file died around test seven or eight with no failure and no summary. Diagnosed by requiring the dispatcher in a bare node process: it leaves ZERO active handles beyond stdio and the process exits cleanly, so there is no leaked timer or connection — the previous session's stated suspicion was the wrong premise. The reset is also unnecessary: the dispatcher holds no module-level mutable state (every sweep's state is on the client the caller passes) and resolves handlers through registry.getHandlers() at dispatch time, so the mock picks up each test's handler list with nothing reloaded. Fix: require the dispatcher once at file load, keep only `handlers = []` in beforeEach. Runtime 60s+ -&gt; 8.5s. The jest.setup.js ALERT_WEBHOOK_URL/ALERT_EMAIL fix from the previous session stands and is unrelated.</t>
        </is>
      </c>
    </row>
    <row r="151" ht="15" customHeight="1" s="25">
      <c r="A151" s="27" t="inlineStr">
        <is>
          <t>TC-C9</t>
        </is>
      </c>
      <c r="B151" s="28" t="inlineStr">
        <is>
          <t>Test &amp; CI/CD</t>
        </is>
      </c>
      <c r="C151" s="28" t="inlineStr">
        <is>
          <t>Platform / tenant-provisioning surface 0%</t>
        </is>
      </c>
      <c r="D151" s="32" t="inlineStr">
        <is>
          <t>High</t>
        </is>
      </c>
      <c r="E151" s="28" t="inlineStr">
        <is>
          <t>Deeper</t>
        </is>
      </c>
      <c r="F151" s="28" t="inlineStr">
        <is>
          <t>Fixed</t>
        </is>
      </c>
      <c r="G151" s="28" t="inlineStr">
        <is>
          <t>Verified in code</t>
        </is>
      </c>
      <c r="H151" s="48" t="inlineStr">
        <is>
          <t>tests/unit/tenant-provisioning.test.js — 52 assertions on provisioning.service, the code scripts/deploy.sh runs against every tenant on every deploy. Concentrated on the three behaviours that are themselves fixes for other findings and had no coverage: (1) DATA 3.2 fleet containment — a failing tenant no longer aborts the sweep, asserted by failing the MIDDLE of three and proving the third was still migrated, that each tenant is enumerated with which side of the line it fell on, and that it still throws FLEET_MIGRATION_PARTIAL afterwards so a deploy goes red; (2) the citext[] depends_on trap — toDepsArray parses the raw Postgres literal ('{}' -&gt; [], never ['{','}']), enforceDependencies cascades to a fixpoint through a chain and in any row order, an unknown dependency counts as unmet, source is preserved while state flips, and the query still carries the ::text[] cast; (3) SEC H6 on createAdmin, which mints the CEO account that bypasses every permission check. Also: slug rejection (it becomes a database name), unknown plan refused before the tenant goes LIVE, provisioning order, both schemas migrated, secret_ref is a pointer not a password, wipeSandbox clearing ONLY the sandbox migration scopes, and fleetSchemaStatus reporting an unreachable tenant rather than failing the report. MUTATION-VERIFIED: five simultaneous mutations (abort-on-first-failure, dropped ::text[] cast, single-pass fixpoint, removed SEC H6 check, full ledger wipe) fail 11 of the 52. Two honest notes: a dependency CYCLE is left on rather than off — recorded in the test, unreachable from the current catalogue, not claimed as a finding; and wipeSandbox's non-transactionality (DI-5.6, still Open) is asserted as current behaviour so whoever fixes it sees the test fail deliberately.</t>
        </is>
      </c>
    </row>
    <row r="152" ht="15" customHeight="1" s="25">
      <c r="A152" s="27" t="inlineStr">
        <is>
          <t>TC-C10</t>
        </is>
      </c>
      <c r="B152" s="28" t="inlineStr">
        <is>
          <t>Test &amp; CI/CD</t>
        </is>
      </c>
      <c r="C152" s="28" t="inlineStr">
        <is>
          <t>Portal auth (external, customer-facing) 3.2% functions</t>
        </is>
      </c>
      <c r="D152" s="32" t="inlineStr">
        <is>
          <t>High</t>
        </is>
      </c>
      <c r="E152" s="28" t="inlineStr">
        <is>
          <t>Quick / deeper</t>
        </is>
      </c>
      <c r="F152" s="28" t="inlineStr">
        <is>
          <t>Fixed</t>
        </is>
      </c>
      <c r="G152" s="28" t="inlineStr">
        <is>
          <t>Verified in code</t>
        </is>
      </c>
      <c r="H152" s="48" t="inlineStr">
        <is>
          <t>tests/unit/portal-auth.test.js — 45 assertions across portal_auth.service AND portal_auth.middleware, which is where the grant is actually enforced. Four properties: (1) a portal token is not a staff token — both are signed with JWT_ACCESS_SECRET so typ is the entire boundary, asserted from both directions (staff access token, 2FA-pending token and refresh-secret-signed token all refused, at the service AND at the gate); (2) the token carries identity only and portal_access is re-read per request, asserted by pulling the grant between two calls with the SAME token and getting 403; (3) failures do not enumerate — unknown email / wrong password / disabled account produce one error, and unknown / used / expired / empty invite tokens produce one error, asserted by comparing the errors to EACH OTHER rather than to a string literal; (4) SEC H6 holds — 'password' and '12345678', the two that passed the old `length &lt; 8` check, are named explicitly. Also covers invite lifetimes (7 days vs 30 minutes, 0482), one-live-link-at-a-time, tokens stored hashed, a weak password NOT consuming the invite, mail failure preserving both the login and the token, and a disabled account being re-activated on re-invite. argon2, jwt and the password policy are real; only the repo, mailer and portal-access lookup are mocked. MUTATION-VERIFIED: removing the typ check, the SEC H6 policy call, the grant check and the ACTIVE-status check fails 10 of the 45.</t>
        </is>
      </c>
    </row>
    <row r="153" ht="15" customHeight="1" s="25">
      <c r="A153" s="27" t="inlineStr">
        <is>
          <t>TC-C12</t>
        </is>
      </c>
      <c r="B153" s="28" t="inlineStr">
        <is>
          <t>Test &amp; CI/CD</t>
        </is>
      </c>
      <c r="C153" s="28" t="inlineStr">
        <is>
          <t>No API-level or E2E test; the middleware chain never runs as a chain</t>
        </is>
      </c>
      <c r="D153" s="32" t="inlineStr">
        <is>
          <t>High</t>
        </is>
      </c>
      <c r="E153" s="28" t="inlineStr">
        <is>
          <t>Deeper</t>
        </is>
      </c>
      <c r="F153" s="28" t="inlineStr">
        <is>
          <t>Fixed</t>
        </is>
      </c>
      <c r="G153" s="28" t="inlineStr">
        <is>
          <t>Verified in code</t>
        </is>
      </c>
      <c r="H153" s="48" t="inlineStr">
        <is>
          <t>tests/unit/middleware-chain.test.js — 42 assertions sending real HTTP through supertest into a real Express app with the real chain (requestId -&gt; hostTenantResolver -&gt; tenantContext -&gt; authMiddleware -&gt; requirePermission -&gt; controller). Express, the router, the async-safe shim and all five middlewares are real; only the tenant registry and identity cache are mocked. Asserts what only a chain can: ORDER (tenantContext without the resolver, and auth without tenantContext, both 500 rather than proceeding tenant-less, and the identity cache is never reached); SHORT-CIRCUIT (a SUSPENDED tenant is 403 and a PROVISIONING tenant 423 even when a perfectly valid token is presented — asserted WITH a valid token, and getAuthUser is never called); PERF S2 (exactly ONE connection checkout for a request where auth, rbac and the controller all read — the fix was for three, capping concurrency at pool_max/3 — plus zero checkouts for a route that touches no database, and a search_path re-bind rather than a second checkout under sandbox); OBS-E3 (the correlation id from header to ambient context to error body, client-supplied ids adopted, over-long ones rejected); OBS-L3 (auth back-filling userId into the context tenantContext bound before it); SEC-C2 sid; the LIVE/TEST toggle not logging the user out; CEO bypass; and `=== true` grant comparison rejecting a truthy 1. Two hosts resolve to two tenants in one process.</t>
        </is>
      </c>
    </row>
    <row r="154" ht="15" customHeight="1" s="25">
      <c r="A154" s="27" t="inlineStr">
        <is>
          <t>TC-Q2</t>
        </is>
      </c>
      <c r="B154" s="28" t="inlineStr">
        <is>
          <t>Test &amp; CI/CD</t>
        </is>
      </c>
      <c r="C154" s="28" t="inlineStr">
        <is>
          <t>refresh() untested; only its extracted predicate is</t>
        </is>
      </c>
      <c r="D154" s="32" t="inlineStr">
        <is>
          <t>High</t>
        </is>
      </c>
      <c r="E154" s="28" t="inlineStr">
        <is>
          <t>Quick</t>
        </is>
      </c>
      <c r="F154" s="28" t="inlineStr">
        <is>
          <t>Fixed</t>
        </is>
      </c>
      <c r="G154" s="28" t="inlineStr">
        <is>
          <t>Verified in code</t>
        </is>
      </c>
      <c r="H154" s="48" t="inlineStr">
        <is>
          <t>tests/unit/auth-refresh-flow.test.js — 22 assertions on refresh() ITSELF, not on its extracted predicate. The audit's objection was that a refactor dropping the refreshTokenReused call site would leave all five existing predicate tests passing; PROVEN BY MUTATION: disabling that call site fails 3 of the new tests and 0 of the 5 old ones. Covers typ-confusion (an access token presented as a refresh token), wrong-secret rejection, expiry, killed session, subject/session mismatch, reuse-of-a-rotated-away-token asserted END TO END (rotate once, replay the original — no reference to the predicate by name), that revocation is complete (row killed + Redis removed + identity cache invalidated + LOGGED_OUT with reason refresh_token_reuse), that a revoked session is not simultaneously rotated or touched, legacy NULL-jti grandfathering, the 30-min inactivity kill and its exact boundary (the check is &gt; not &gt;=), keep_signed_in opting out of the idle kill but NOT out of revocation (0494), NaN-safe idle handling, and sid surviving rotation (SEC-C2). Two further mutations verified: dropping sid from the rotated access token and widening the idle window each fail exactly the test that names them. JWT is real throughout — tokens are signed and verified with the configured secrets.</t>
        </is>
      </c>
    </row>
    <row r="155" ht="15" customHeight="1" s="25">
      <c r="A155" s="27" t="inlineStr">
        <is>
          <t>TC-Q4</t>
        </is>
      </c>
      <c r="B155" s="28" t="inlineStr">
        <is>
          <t>Test &amp; CI/CD</t>
        </is>
      </c>
      <c r="C155" s="28" t="inlineStr">
        <is>
          <t>The money-path test mocks away determination and GL posting</t>
        </is>
      </c>
      <c r="D155" s="32" t="inlineStr">
        <is>
          <t>High</t>
        </is>
      </c>
      <c r="E155" s="28" t="inlineStr">
        <is>
          <t>Deeper</t>
        </is>
      </c>
      <c r="F155" s="28" t="inlineStr">
        <is>
          <t>Fixed</t>
        </is>
      </c>
      <c r="G155" s="28" t="inlineStr">
        <is>
          <t>Verified</t>
        </is>
      </c>
      <c r="H155" s="28" t="inlineStr">
        <is>
          <t>Same file. final-invoice-lifecycle.test.js mocks determination and journal_entry.service, so it asserts the lifecycle and NOTHING about the accounting — which is correct for a lifecycle test; the missing half was a test of the arithmetic itself. That half now exists and is unmocked. The balance assertion is the load-bearing one: assert_entry_balanced in the database is the final authority but fires at INSERT time, by which point the failure surfaces as a 500 from inside a posting.</t>
        </is>
      </c>
    </row>
    <row r="156" ht="15" customHeight="1" s="25">
      <c r="A156" s="27" t="inlineStr">
        <is>
          <t>TC-CI6</t>
        </is>
      </c>
      <c r="B156" s="28" t="inlineStr">
        <is>
          <t>Test &amp; CI/CD</t>
        </is>
      </c>
      <c r="C156" s="28" t="inlineStr">
        <is>
          <t>Migrations are never executed in CI; the first run is production</t>
        </is>
      </c>
      <c r="D156" s="32" t="inlineStr">
        <is>
          <t>High</t>
        </is>
      </c>
      <c r="E156" s="28" t="inlineStr">
        <is>
          <t>Deeper</t>
        </is>
      </c>
      <c r="F156" s="28" t="inlineStr">
        <is>
          <t>Fixed</t>
        </is>
      </c>
      <c r="G156" s="28" t="inlineStr">
        <is>
          <t>Verified</t>
        </is>
      </c>
      <c r="H156" s="28" t="inlineStr">
        <is>
          <t>New `migrations` job: postgres:16 service, real platform migrate, a tenant provisioned from nothing (the path a new customer takes, never previously run in CI), then the tenant set applied a SECOND time asserting zero files applied — the migrator's idempotency claim rests entirely on its schema_migration ledger and nothing checked it. Then probe-doc-numbers, because 0498's unique indexes have no NOT VALID escape and either build or fail the whole run. This is the worst asymmetry in the audit: every other gate's worst outcome is a broken feature; a migration's is a half-migrated production database at the moment deploy.sh has already rolled the old image away.</t>
        </is>
      </c>
    </row>
    <row r="157" ht="15" customHeight="1" s="25">
      <c r="A157" s="27" t="inlineStr">
        <is>
          <t>TC-CI7</t>
        </is>
      </c>
      <c r="B157" s="28" t="inlineStr">
        <is>
          <t>Test &amp; CI/CD</t>
        </is>
      </c>
      <c r="C157" s="28" t="inlineStr">
        <is>
          <t>The built image is never started; boot failures reach deploy</t>
        </is>
      </c>
      <c r="D157" s="32" t="inlineStr">
        <is>
          <t>High</t>
        </is>
      </c>
      <c r="E157" s="28" t="inlineStr">
        <is>
          <t>Quick</t>
        </is>
      </c>
      <c r="F157" s="28" t="inlineStr">
        <is>
          <t>Fixed</t>
        </is>
      </c>
      <c r="G157" s="28" t="inlineStr">
        <is>
          <t>Verified</t>
        </is>
      </c>
      <c r="H157" s="28" t="inlineStr">
        <is>
          <t>docker-build now STARTS the image and waits for /api/health, then asserts every module mounts inside it. The image was built and never run, so anything between `docker build` succeeding and the process serving reached production untouched — which is not hypothetical: the deps stage did not copy packages/, so the image shipped with @praxis/shared unresolvable and NO INVOICING MODULE, and it built perfectly. Liveness only, because /api/health deliberately touches no dependency and is the one question a container with no database can answer. Runs with NODE_ENV=production — verified the throwaway CI secrets satisfy env.js's production guard, which rejects the dev-default ENCRYPTION_KEY and identical access/refresh secrets.</t>
        </is>
      </c>
    </row>
    <row r="158" ht="15" customHeight="1" s="25">
      <c r="A158" s="27" t="inlineStr">
        <is>
          <t>TC-CI8</t>
        </is>
      </c>
      <c r="B158" s="28" t="inlineStr">
        <is>
          <t>Test &amp; CI/CD</t>
        </is>
      </c>
      <c r="C158" s="28" t="inlineStr">
        <is>
          <t>npm install not npm ci - CI does not test the dependency tree that gets deployed</t>
        </is>
      </c>
      <c r="D158" s="32" t="inlineStr">
        <is>
          <t>High</t>
        </is>
      </c>
      <c r="E158" s="28" t="inlineStr">
        <is>
          <t>Deeper</t>
        </is>
      </c>
      <c r="F158" s="28" t="inlineStr">
        <is>
          <t>Fixed</t>
        </is>
      </c>
      <c r="G158" s="28" t="inlineStr">
        <is>
          <t>Verified</t>
        </is>
      </c>
      <c r="H158" s="28" t="inlineStr">
        <is>
          <t>npm ci everywhere (4 sites). The old comment justified `install` on the grounds that the lockfile is Windows-generated so `ci` could omit linux binaries — THE PREMISE IS FALSE and was worth checking rather than inheriting: lockfileVersion 3 records every platform variant regardless of the generating machine, verified that this lockfile contains @img/sharp-linux-x64, @img/sharp-libvips-linux-x64, argon2 and node-gyp-build. The cost of the old line is the finding: `npm install` may resolve NEWER versions than the lockfile pins, so CI tested a dependency tree that is neither what the Dockerfile builds nor what deploys.</t>
        </is>
      </c>
    </row>
    <row r="159" ht="15" customHeight="1" s="25">
      <c r="A159" s="27" t="inlineStr">
        <is>
          <t>TC-D3</t>
        </is>
      </c>
      <c r="B159" s="28" t="inlineStr">
        <is>
          <t>Test &amp; CI/CD</t>
        </is>
      </c>
      <c r="C159" s="28" t="inlineStr">
        <is>
          <t>migrateAllTenants has no containment; mixed-fleet state on failure</t>
        </is>
      </c>
      <c r="D159" s="32" t="inlineStr">
        <is>
          <t>High</t>
        </is>
      </c>
      <c r="E159" s="28" t="inlineStr">
        <is>
          <t>Deeper</t>
        </is>
      </c>
      <c r="F159" s="28" t="inlineStr">
        <is>
          <t>Fixed</t>
        </is>
      </c>
      <c r="G159" s="28" t="inlineStr">
        <is>
          <t>Verified</t>
        </is>
      </c>
      <c r="H159" s="28" t="inlineStr">
        <is>
          <t>Same fix as DI-3.2 — this finding IS the containment half. Per-tenant error capture, an enumerated result, a FLEET_MIGRATION_PARTIAL error carrying the full outcome, and a read-only status command that names who is behind and who is unreachable (which are different problems: unreachable is not behind, and migrating an unreachable tenant is not the remedy).</t>
        </is>
      </c>
    </row>
    <row r="160" ht="15" customHeight="1" s="25">
      <c r="A160" s="27" t="inlineStr">
        <is>
          <t>TC-D4</t>
        </is>
      </c>
      <c r="B160" s="28" t="inlineStr">
        <is>
          <t>Test &amp; CI/CD</t>
        </is>
      </c>
      <c r="C160" s="28" t="inlineStr">
        <is>
          <t>/api/health is shallow; the deploy gate cannot see a dead database</t>
        </is>
      </c>
      <c r="D160" s="32" t="inlineStr">
        <is>
          <t>High</t>
        </is>
      </c>
      <c r="E160" s="28" t="inlineStr">
        <is>
          <t>Quick</t>
        </is>
      </c>
      <c r="F160" s="30" t="inlineStr">
        <is>
          <t>Fixed</t>
        </is>
      </c>
      <c r="G160" s="31" t="inlineStr">
        <is>
          <t>Verified in code</t>
        </is>
      </c>
      <c r="H160" s="28" t="inlineStr">
        <is>
          <t>Deploy gate now targets readiness, not liveness.</t>
        </is>
      </c>
    </row>
    <row r="161" ht="15" customHeight="1" s="25">
      <c r="A161" s="27" t="inlineStr">
        <is>
          <t>TC-D5</t>
        </is>
      </c>
      <c r="B161" s="28" t="inlineStr">
        <is>
          <t>Test &amp; CI/CD</t>
        </is>
      </c>
      <c r="C161" s="28" t="inlineStr">
        <is>
          <t>CI holds a long-lived (likely root) SSH session on production</t>
        </is>
      </c>
      <c r="D161" s="32" t="inlineStr">
        <is>
          <t>High</t>
        </is>
      </c>
      <c r="E161" s="28" t="inlineStr">
        <is>
          <t>Quick / deeper</t>
        </is>
      </c>
      <c r="F161" s="28" t="inlineStr">
        <is>
          <t>Open</t>
        </is>
      </c>
      <c r="G161" s="28" t="inlineStr">
        <is>
          <t>As reported</t>
        </is>
      </c>
      <c r="H161" s="28" t="n"/>
    </row>
    <row r="162" ht="15" customHeight="1" s="25">
      <c r="A162" s="27" t="inlineStr">
        <is>
          <t>TC-D6</t>
        </is>
      </c>
      <c r="B162" s="28" t="inlineStr">
        <is>
          <t>Test &amp; CI/CD</t>
        </is>
      </c>
      <c r="C162" s="28" t="inlineStr">
        <is>
          <t>No pre-production environment for builds (deliberate; the PRD contradicts it)</t>
        </is>
      </c>
      <c r="D162" s="32" t="inlineStr">
        <is>
          <t>High</t>
        </is>
      </c>
      <c r="E162" s="28" t="inlineStr">
        <is>
          <t>Process</t>
        </is>
      </c>
      <c r="F162" s="28" t="inlineStr">
        <is>
          <t>Open</t>
        </is>
      </c>
      <c r="G162" s="28" t="inlineStr">
        <is>
          <t>As reported</t>
        </is>
      </c>
      <c r="H162" s="28" t="n"/>
    </row>
    <row r="163" ht="15" customHeight="1" s="25">
      <c r="A163" s="27" t="inlineStr">
        <is>
          <t>TC-E1</t>
        </is>
      </c>
      <c r="B163" s="28" t="inlineStr">
        <is>
          <t>Test &amp; CI/CD</t>
        </is>
      </c>
      <c r="C163" s="28" t="inlineStr">
        <is>
          <t>Production .env is hand-maintained and validated only at boot, post-migration</t>
        </is>
      </c>
      <c r="D163" s="32" t="inlineStr">
        <is>
          <t>High</t>
        </is>
      </c>
      <c r="E163" s="28" t="inlineStr">
        <is>
          <t>Quick</t>
        </is>
      </c>
      <c r="F163" s="28" t="inlineStr">
        <is>
          <t>Open</t>
        </is>
      </c>
      <c r="G163" s="28" t="inlineStr">
        <is>
          <t>As reported</t>
        </is>
      </c>
      <c r="H163" s="28" t="n"/>
    </row>
    <row r="164" ht="15" customHeight="1" s="25">
      <c r="A164" s="27" t="inlineStr">
        <is>
          <t>TC-R2</t>
        </is>
      </c>
      <c r="B164" s="28" t="inlineStr">
        <is>
          <t>Test &amp; CI/CD</t>
        </is>
      </c>
      <c r="C164" s="28" t="inlineStr">
        <is>
          <t>A running build cannot identify itself</t>
        </is>
      </c>
      <c r="D164" s="32" t="inlineStr">
        <is>
          <t>High</t>
        </is>
      </c>
      <c r="E164" s="28" t="inlineStr">
        <is>
          <t>Quick</t>
        </is>
      </c>
      <c r="F164" s="30" t="inlineStr">
        <is>
          <t>Fixed</t>
        </is>
      </c>
      <c r="G164" s="31" t="inlineStr">
        <is>
          <t>Verified in code</t>
        </is>
      </c>
      <c r="H164" s="28" t="inlineStr">
        <is>
          <t>BUILD_SHA/BUILD_TIME baked into the image, surfaced on both health endpoints.</t>
        </is>
      </c>
    </row>
    <row r="165" ht="15" customHeight="1" s="25">
      <c r="A165" s="27" t="inlineStr">
        <is>
          <t>TC-CI2</t>
        </is>
      </c>
      <c r="B165" s="28" t="inlineStr">
        <is>
          <t>Test &amp; CI/CD</t>
        </is>
      </c>
      <c r="C165" s="28" t="inlineStr">
        <is>
          <t>main is red on 15% of runs; no always-deployable branch</t>
        </is>
      </c>
      <c r="D165" s="32" t="inlineStr">
        <is>
          <t>High</t>
        </is>
      </c>
      <c r="E165" s="28" t="inlineStr">
        <is>
          <t>Quick</t>
        </is>
      </c>
      <c r="F165" s="28" t="inlineStr">
        <is>
          <t>Open</t>
        </is>
      </c>
      <c r="G165" s="28" t="inlineStr">
        <is>
          <t>As reported</t>
        </is>
      </c>
      <c r="H165" s="28" t="n"/>
    </row>
    <row r="166" ht="23.25" customHeight="1" s="25">
      <c r="A166" s="27" t="inlineStr">
        <is>
          <t>TC-C11</t>
        </is>
      </c>
      <c r="B166" s="28" t="inlineStr">
        <is>
          <t>Test &amp; CI/CD</t>
        </is>
      </c>
      <c r="C166" s="28" t="inlineStr">
        <is>
          <t>Frontend suite is presentational only; money, permissions and Live/Test untested; platform-console at zero</t>
        </is>
      </c>
      <c r="D166" s="33" t="inlineStr">
        <is>
          <t>Medium</t>
        </is>
      </c>
      <c r="E166" s="28" t="inlineStr">
        <is>
          <t>Deeper</t>
        </is>
      </c>
      <c r="F166" s="35" t="inlineStr">
        <is>
          <t>Partially addressed</t>
        </is>
      </c>
      <c r="G166" s="31" t="inlineStr">
        <is>
          <t>Verified in code</t>
        </is>
      </c>
      <c r="H166" s="28" t="inlineStr">
        <is>
          <t>Client test files have grown from 3 to 15 since the audit; platform-console still at zero</t>
        </is>
      </c>
    </row>
    <row r="167" ht="15" customHeight="1" s="25">
      <c r="A167" s="27" t="inlineStr">
        <is>
          <t>TC-Q1</t>
        </is>
      </c>
      <c r="B167" s="28" t="inlineStr">
        <is>
          <t>Test &amp; CI/CD</t>
        </is>
      </c>
      <c r="C167" s="28" t="inlineStr">
        <is>
          <t>Coverage inflation - line coverage inflated by import-time execution</t>
        </is>
      </c>
      <c r="D167" s="33" t="inlineStr">
        <is>
          <t>Medium</t>
        </is>
      </c>
      <c r="E167" s="28" t="inlineStr">
        <is>
          <t>Quick</t>
        </is>
      </c>
      <c r="F167" s="28" t="inlineStr">
        <is>
          <t>Open</t>
        </is>
      </c>
      <c r="G167" s="28" t="inlineStr">
        <is>
          <t>As reported</t>
        </is>
      </c>
      <c r="H167" s="28" t="n"/>
    </row>
    <row r="168" ht="15" customHeight="1" s="25">
      <c r="A168" s="27" t="inlineStr">
        <is>
          <t>TC-Q3</t>
        </is>
      </c>
      <c r="B168" s="28" t="inlineStr">
        <is>
          <t>Test &amp; CI/CD</t>
        </is>
      </c>
      <c r="C168" s="28" t="inlineStr">
        <is>
          <t>Hand-rolled regex SQL fakes silently absorb query changes</t>
        </is>
      </c>
      <c r="D168" s="33" t="inlineStr">
        <is>
          <t>Medium</t>
        </is>
      </c>
      <c r="E168" s="28" t="inlineStr">
        <is>
          <t>Deeper</t>
        </is>
      </c>
      <c r="F168" s="28" t="inlineStr">
        <is>
          <t>Open</t>
        </is>
      </c>
      <c r="G168" s="28" t="inlineStr">
        <is>
          <t>As reported</t>
        </is>
      </c>
      <c r="H168" s="28" t="n"/>
    </row>
    <row r="169" ht="15" customHeight="1" s="25">
      <c r="A169" s="27" t="inlineStr">
        <is>
          <t>TC-Q6</t>
        </is>
      </c>
      <c r="B169" s="28" t="inlineStr">
        <is>
          <t>Test &amp; CI/CD</t>
        </is>
      </c>
      <c r="C169" s="28" t="inlineStr">
        <is>
          <t>auth-coverage matches by function name; floor of 50 vs 100 modules</t>
        </is>
      </c>
      <c r="D169" s="33" t="inlineStr">
        <is>
          <t>Medium</t>
        </is>
      </c>
      <c r="E169" s="28" t="inlineStr">
        <is>
          <t>Quick</t>
        </is>
      </c>
      <c r="F169" s="28" t="inlineStr">
        <is>
          <t>Open</t>
        </is>
      </c>
      <c r="G169" s="28" t="inlineStr">
        <is>
          <t>As reported</t>
        </is>
      </c>
      <c r="H169" s="28" t="n"/>
    </row>
    <row r="170" ht="15" customHeight="1" s="25">
      <c r="A170" s="27" t="inlineStr">
        <is>
          <t>TC-CI3</t>
        </is>
      </c>
      <c r="B170" s="28" t="inlineStr">
        <is>
          <t>Test &amp; CI/CD</t>
        </is>
      </c>
      <c r="C170" s="28" t="inlineStr">
        <is>
          <t>Coverage is never measured in CI</t>
        </is>
      </c>
      <c r="D170" s="33" t="inlineStr">
        <is>
          <t>Medium</t>
        </is>
      </c>
      <c r="E170" s="28" t="inlineStr">
        <is>
          <t>Quick</t>
        </is>
      </c>
      <c r="F170" s="28" t="inlineStr">
        <is>
          <t>Open</t>
        </is>
      </c>
      <c r="G170" s="28" t="inlineStr">
        <is>
          <t>As reported</t>
        </is>
      </c>
      <c r="H170" s="28" t="n"/>
    </row>
    <row r="171" ht="15" customHeight="1" s="25">
      <c r="A171" s="27" t="inlineStr">
        <is>
          <t>TC-CI5</t>
        </is>
      </c>
      <c r="B171" s="28" t="inlineStr">
        <is>
          <t>Test &amp; CI/CD</t>
        </is>
      </c>
      <c r="C171" s="28" t="inlineStr">
        <is>
          <t>Security scanning is 5 regex patterns over the working tree only; no SAST</t>
        </is>
      </c>
      <c r="D171" s="33" t="inlineStr">
        <is>
          <t>Medium</t>
        </is>
      </c>
      <c r="E171" s="28" t="inlineStr">
        <is>
          <t>Quick</t>
        </is>
      </c>
      <c r="F171" s="30" t="inlineStr">
        <is>
          <t>Fixed</t>
        </is>
      </c>
      <c r="G171" s="31" t="inlineStr">
        <is>
          <t>Verified in code</t>
        </is>
      </c>
      <c r="H171" s="28" t="inlineStr">
        <is>
          <t>Patterns widened (DB/SMTP/conn-string/more prefixes); -e bug fixed; false positives tightened.</t>
        </is>
      </c>
    </row>
    <row r="172" ht="15" customHeight="1" s="25">
      <c r="A172" s="27" t="inlineStr">
        <is>
          <t>TC-CI10</t>
        </is>
      </c>
      <c r="B172" s="28" t="inlineStr">
        <is>
          <t>Test &amp; CI/CD</t>
        </is>
      </c>
      <c r="C172" s="28" t="inlineStr">
        <is>
          <t>No backend type-check, and lint warnings never fail</t>
        </is>
      </c>
      <c r="D172" s="33" t="inlineStr">
        <is>
          <t>Medium</t>
        </is>
      </c>
      <c r="E172" s="28" t="inlineStr">
        <is>
          <t>Deeper</t>
        </is>
      </c>
      <c r="F172" s="28" t="inlineStr">
        <is>
          <t>Open</t>
        </is>
      </c>
      <c r="G172" s="28" t="inlineStr">
        <is>
          <t>As reported</t>
        </is>
      </c>
      <c r="H172" s="28" t="n"/>
    </row>
    <row r="173" ht="15" customHeight="1" s="25">
      <c r="A173" s="27" t="inlineStr">
        <is>
          <t>TC-D7</t>
        </is>
      </c>
      <c r="B173" s="28" t="inlineStr">
        <is>
          <t>Test &amp; CI/CD</t>
        </is>
      </c>
      <c r="C173" s="28" t="inlineStr">
        <is>
          <t>The deployed tree is mutable and the deploy is not pinned to an artifact</t>
        </is>
      </c>
      <c r="D173" s="33" t="inlineStr">
        <is>
          <t>Medium</t>
        </is>
      </c>
      <c r="E173" s="28" t="inlineStr">
        <is>
          <t>Deeper</t>
        </is>
      </c>
      <c r="F173" s="28" t="inlineStr">
        <is>
          <t>Open</t>
        </is>
      </c>
      <c r="G173" s="28" t="inlineStr">
        <is>
          <t>As reported</t>
        </is>
      </c>
      <c r="H173" s="28" t="n"/>
    </row>
    <row r="174" ht="15" customHeight="1" s="25">
      <c r="A174" s="27" t="inlineStr">
        <is>
          <t>TC-D8</t>
        </is>
      </c>
      <c r="B174" s="28" t="inlineStr">
        <is>
          <t>Test &amp; CI/CD</t>
        </is>
      </c>
      <c r="C174" s="28" t="inlineStr">
        <is>
          <t>CI has no concurrency group; trigger SHA != deployed SHA</t>
        </is>
      </c>
      <c r="D174" s="33" t="inlineStr">
        <is>
          <t>Medium</t>
        </is>
      </c>
      <c r="E174" s="28" t="inlineStr">
        <is>
          <t>Quick</t>
        </is>
      </c>
      <c r="F174" s="28" t="inlineStr">
        <is>
          <t>Open</t>
        </is>
      </c>
      <c r="G174" s="28" t="inlineStr">
        <is>
          <t>As reported</t>
        </is>
      </c>
      <c r="H174" s="28" t="n"/>
    </row>
    <row r="175" ht="15" customHeight="1" s="25">
      <c r="A175" s="27" t="inlineStr">
        <is>
          <t>TC-E2</t>
        </is>
      </c>
      <c r="B175" s="28" t="inlineStr">
        <is>
          <t>Test &amp; CI/CD</t>
        </is>
      </c>
      <c r="C175" s="28" t="inlineStr">
        <is>
          <t>Publicly known dev defaults, guarded only by NODE_ENV</t>
        </is>
      </c>
      <c r="D175" s="33" t="inlineStr">
        <is>
          <t>Medium</t>
        </is>
      </c>
      <c r="E175" s="28" t="inlineStr">
        <is>
          <t>Quick</t>
        </is>
      </c>
      <c r="F175" s="28" t="inlineStr">
        <is>
          <t>Open</t>
        </is>
      </c>
      <c r="G175" s="28" t="inlineStr">
        <is>
          <t>As reported</t>
        </is>
      </c>
      <c r="H175" s="28" t="n"/>
    </row>
    <row r="176" ht="15" customHeight="1" s="25">
      <c r="A176" s="27" t="inlineStr">
        <is>
          <t>TC-E3</t>
        </is>
      </c>
      <c r="B176" s="28" t="inlineStr">
        <is>
          <t>Test &amp; CI/CD</t>
        </is>
      </c>
      <c r="C176" s="28" t="inlineStr">
        <is>
          <t>No rotation story for anything; ENCRYPTION_KEY effectively unrotatable</t>
        </is>
      </c>
      <c r="D176" s="37" t="inlineStr">
        <is>
          <t>Medium-High</t>
        </is>
      </c>
      <c r="E176" s="28" t="inlineStr">
        <is>
          <t>Process</t>
        </is>
      </c>
      <c r="F176" s="28" t="inlineStr">
        <is>
          <t>Open</t>
        </is>
      </c>
      <c r="G176" s="28" t="inlineStr">
        <is>
          <t>As reported</t>
        </is>
      </c>
      <c r="H176" s="28" t="n"/>
    </row>
    <row r="177" ht="15" customHeight="1" s="25">
      <c r="A177" s="27" t="inlineStr">
        <is>
          <t>TC-E4</t>
        </is>
      </c>
      <c r="B177" s="28" t="inlineStr">
        <is>
          <t>Test &amp; CI/CD</t>
        </is>
      </c>
      <c r="C177" s="28" t="inlineStr">
        <is>
          <t>The secret scan is blind to git history; documented past exposure unverified</t>
        </is>
      </c>
      <c r="D177" s="33" t="inlineStr">
        <is>
          <t>Medium</t>
        </is>
      </c>
      <c r="E177" s="28" t="inlineStr">
        <is>
          <t>Quick to check</t>
        </is>
      </c>
      <c r="F177" s="30" t="inlineStr">
        <is>
          <t>Fixed</t>
        </is>
      </c>
      <c r="G177" s="31" t="inlineStr">
        <is>
          <t>Verified in code</t>
        </is>
      </c>
      <c r="H177" s="28" t="inlineStr">
        <is>
          <t>scripts/scan-history-secrets.sh. RUN: the Groq key spans 177 commits from 51b57ae (2026-07-06) to HEAD. Purge declined; rotation done instead.</t>
        </is>
      </c>
    </row>
    <row r="178" ht="15" customHeight="1" s="25">
      <c r="A178" s="27" t="inlineStr">
        <is>
          <t>TC-R3</t>
        </is>
      </c>
      <c r="B178" s="28" t="inlineStr">
        <is>
          <t>Test &amp; CI/CD</t>
        </is>
      </c>
      <c r="C178" s="28" t="inlineStr">
        <is>
          <t>Deploys are not traceable to commits</t>
        </is>
      </c>
      <c r="D178" s="37" t="inlineStr">
        <is>
          <t>Medium-High</t>
        </is>
      </c>
      <c r="E178" s="28" t="inlineStr">
        <is>
          <t>Quick</t>
        </is>
      </c>
      <c r="F178" s="28" t="inlineStr">
        <is>
          <t>Open</t>
        </is>
      </c>
      <c r="G178" s="28" t="inlineStr">
        <is>
          <t>As reported</t>
        </is>
      </c>
      <c r="H178" s="28" t="n"/>
    </row>
    <row r="179" ht="15" customHeight="1" s="25">
      <c r="A179" s="27" t="inlineStr">
        <is>
          <t>TC-R1</t>
        </is>
      </c>
      <c r="B179" s="28" t="inlineStr">
        <is>
          <t>Test &amp; CI/CD</t>
        </is>
      </c>
      <c r="C179" s="28" t="inlineStr">
        <is>
          <t>There are no releases, tags or changelog; version frozen at 0.1.0</t>
        </is>
      </c>
      <c r="D179" s="33" t="inlineStr">
        <is>
          <t>Medium</t>
        </is>
      </c>
      <c r="E179" s="28" t="inlineStr">
        <is>
          <t>Quick</t>
        </is>
      </c>
      <c r="F179" s="28" t="inlineStr">
        <is>
          <t>Open</t>
        </is>
      </c>
      <c r="G179" s="28" t="inlineStr">
        <is>
          <t>As reported</t>
        </is>
      </c>
      <c r="H179" s="28" t="n"/>
    </row>
    <row r="180" ht="15" customHeight="1" s="25">
      <c r="A180" s="27" t="inlineStr">
        <is>
          <t>TC-Q5</t>
        </is>
      </c>
      <c r="B180" s="28" t="inlineStr">
        <is>
          <t>Test &amp; CI/CD</t>
        </is>
      </c>
      <c r="C180" s="28" t="inlineStr">
        <is>
          <t>Registration-only tests read as behavioural coverage</t>
        </is>
      </c>
      <c r="D180" s="38" t="inlineStr">
        <is>
          <t>Low-Medium</t>
        </is>
      </c>
      <c r="E180" s="28" t="inlineStr">
        <is>
          <t>Classify</t>
        </is>
      </c>
      <c r="F180" s="28" t="inlineStr">
        <is>
          <t>Open</t>
        </is>
      </c>
      <c r="G180" s="28" t="inlineStr">
        <is>
          <t>As reported</t>
        </is>
      </c>
      <c r="H180" s="28" t="n"/>
    </row>
    <row r="181" ht="15" customHeight="1" s="25">
      <c r="A181" s="27" t="inlineStr">
        <is>
          <t>TC-R4</t>
        </is>
      </c>
      <c r="B181" s="28" t="inlineStr">
        <is>
          <t>Test &amp; CI/CD</t>
        </is>
      </c>
      <c r="C181" s="28" t="inlineStr">
        <is>
          <t>Merge commits carry the least information; commit messages are the changelog</t>
        </is>
      </c>
      <c r="D181" s="38" t="inlineStr">
        <is>
          <t>Low-Medium</t>
        </is>
      </c>
      <c r="E181" s="28" t="inlineStr">
        <is>
          <t>Quick</t>
        </is>
      </c>
      <c r="F181" s="28" t="inlineStr">
        <is>
          <t>Open</t>
        </is>
      </c>
      <c r="G181" s="28" t="inlineStr">
        <is>
          <t>As reported</t>
        </is>
      </c>
      <c r="H181" s="28" t="n"/>
    </row>
    <row r="182" ht="15" customHeight="1" s="25">
      <c r="A182" s="27" t="inlineStr">
        <is>
          <t>TC-CI4</t>
        </is>
      </c>
      <c r="B182" s="28" t="inlineStr">
        <is>
          <t>Test &amp; CI/CD</t>
        </is>
      </c>
      <c r="C182" s="28" t="inlineStr">
        <is>
          <t>npm audit reports but does not block, with no expiry</t>
        </is>
      </c>
      <c r="D182" s="38" t="inlineStr">
        <is>
          <t>Low-Medium</t>
        </is>
      </c>
      <c r="E182" s="28" t="inlineStr">
        <is>
          <t>Quick</t>
        </is>
      </c>
      <c r="F182" s="28" t="inlineStr">
        <is>
          <t>Open</t>
        </is>
      </c>
      <c r="G182" s="28" t="inlineStr">
        <is>
          <t>As reported</t>
        </is>
      </c>
      <c r="H182" s="28" t="n"/>
    </row>
    <row r="183" ht="15" customHeight="1" s="25">
      <c r="A183" s="27" t="inlineStr">
        <is>
          <t>TC-F2</t>
        </is>
      </c>
      <c r="B183" s="28" t="inlineStr">
        <is>
          <t>Test &amp; CI/CD</t>
        </is>
      </c>
      <c r="C183" s="28" t="inlineStr">
        <is>
          <t>--runInBand costs 3x runtime for no observed benefit</t>
        </is>
      </c>
      <c r="D183" s="34" t="inlineStr">
        <is>
          <t>Low</t>
        </is>
      </c>
      <c r="E183" s="28" t="inlineStr">
        <is>
          <t>Quick</t>
        </is>
      </c>
      <c r="F183" s="28" t="inlineStr">
        <is>
          <t>Open</t>
        </is>
      </c>
      <c r="G183" s="28" t="inlineStr">
        <is>
          <t>As reported</t>
        </is>
      </c>
      <c r="H183" s="28" t="n"/>
    </row>
    <row r="184" ht="15" customHeight="1" s="25">
      <c r="A184" s="27" t="inlineStr">
        <is>
          <t>TC-F3</t>
        </is>
      </c>
      <c r="B184" s="28" t="inlineStr">
        <is>
          <t>Test &amp; CI/CD</t>
        </is>
      </c>
      <c r="C184" s="28" t="inlineStr">
        <is>
          <t>Expected-error noise in the CI log trains people to ignore red output</t>
        </is>
      </c>
      <c r="D184" s="34" t="inlineStr">
        <is>
          <t>Low</t>
        </is>
      </c>
      <c r="E184" s="28" t="inlineStr">
        <is>
          <t>Quick</t>
        </is>
      </c>
      <c r="F184" s="28" t="inlineStr">
        <is>
          <t>Open</t>
        </is>
      </c>
      <c r="G184" s="28" t="inlineStr">
        <is>
          <t>As reported</t>
        </is>
      </c>
      <c r="H184" s="28" t="n"/>
    </row>
    <row r="185" ht="23.25" customHeight="1" s="25">
      <c r="A185" s="27" t="inlineStr">
        <is>
          <t>TC-F1</t>
        </is>
      </c>
      <c r="B185" s="28" t="inlineStr">
        <is>
          <t>Test &amp; CI/CD</t>
        </is>
      </c>
      <c r="C185" s="28" t="inlineStr">
        <is>
          <t>No flakiness across 90 runs - measured, not assumed</t>
        </is>
      </c>
      <c r="D185" s="34" t="inlineStr">
        <is>
          <t>Low</t>
        </is>
      </c>
      <c r="E185" s="28" t="inlineStr">
        <is>
          <t>No action (positive finding)</t>
        </is>
      </c>
      <c r="F185" s="36" t="inlineStr">
        <is>
          <t>Closed</t>
        </is>
      </c>
      <c r="G185" s="28" t="inlineStr">
        <is>
          <t>As reported</t>
        </is>
      </c>
      <c r="H185" s="28" t="n"/>
    </row>
    <row r="186" ht="23.25" customHeight="1" s="25">
      <c r="A186" s="27" t="inlineStr">
        <is>
          <t>TC-CI9</t>
        </is>
      </c>
      <c r="B186" s="28" t="inlineStr">
        <is>
          <t>Test &amp; CI/CD</t>
        </is>
      </c>
      <c r="C186" s="28" t="inlineStr">
        <is>
          <t>Pipeline speed is not a problem</t>
        </is>
      </c>
      <c r="D186" s="34" t="inlineStr">
        <is>
          <t>Low</t>
        </is>
      </c>
      <c r="E186" s="28" t="inlineStr">
        <is>
          <t>No action (positive finding)</t>
        </is>
      </c>
      <c r="F186" s="36" t="inlineStr">
        <is>
          <t>Closed</t>
        </is>
      </c>
      <c r="G186" s="28" t="inlineStr">
        <is>
          <t>As reported</t>
        </is>
      </c>
      <c r="H186" s="28" t="n"/>
    </row>
    <row r="187" ht="15" customHeight="1" s="25">
      <c r="A187" s="27" t="inlineStr">
        <is>
          <t>UI-F1</t>
        </is>
      </c>
      <c r="B187" s="28" t="inlineStr">
        <is>
          <t>Desktop UI</t>
        </is>
      </c>
      <c r="C187" s="28" t="inlineStr">
        <is>
          <t>The home screen is a static HTML mock inside an iframe (1,440 lines of raw assets)</t>
        </is>
      </c>
      <c r="D187" s="29" t="inlineStr">
        <is>
          <t>Critical</t>
        </is>
      </c>
      <c r="E187" s="28" t="inlineStr">
        <is>
          <t>Structural</t>
        </is>
      </c>
      <c r="F187" s="28" t="inlineStr">
        <is>
          <t>Fixed</t>
        </is>
      </c>
      <c r="G187" s="28" t="inlineStr">
        <is>
          <t>Owner-confirmed</t>
        </is>
      </c>
      <c r="H187" s="28" t="inlineStr">
        <is>
          <t>Confirmed fixed by the owner (2026-08-05). Not independently re-verified in this session; the Desktop UI audit was closed out separately from the backend remediation stream. Previous register status: Open.</t>
        </is>
      </c>
    </row>
    <row r="188" ht="23.25" customHeight="1" s="25">
      <c r="A188" s="27" t="inlineStr">
        <is>
          <t>UI-F2</t>
        </is>
      </c>
      <c r="B188" s="28" t="inlineStr">
        <is>
          <t>Desktop UI</t>
        </is>
      </c>
      <c r="C188" s="28" t="inlineStr">
        <is>
          <t>There is no desktop breakpoint - the entire app lays out at 640px</t>
        </is>
      </c>
      <c r="D188" s="29" t="inlineStr">
        <is>
          <t>Critical</t>
        </is>
      </c>
      <c r="E188" s="28" t="inlineStr">
        <is>
          <t>Structural</t>
        </is>
      </c>
      <c r="F188" s="28" t="inlineStr">
        <is>
          <t>Fixed</t>
        </is>
      </c>
      <c r="G188" s="31" t="inlineStr">
        <is>
          <t>Owner-confirmed</t>
        </is>
      </c>
      <c r="H188" s="28" t="inlineStr">
        <is>
          <t>Confirmed fixed by the owner (2026-08-05). Not independently re-verified in this session; the Desktop UI audit was closed out separately from the backend remediation stream. Previous register status: Open.</t>
        </is>
      </c>
    </row>
    <row r="189" ht="15" customHeight="1" s="25">
      <c r="A189" s="27" t="inlineStr">
        <is>
          <t>UI-F4</t>
        </is>
      </c>
      <c r="B189" s="28" t="inlineStr">
        <is>
          <t>Desktop UI</t>
        </is>
      </c>
      <c r="C189" s="28" t="inlineStr">
        <is>
          <t>565 form fields render a label with no association to their control</t>
        </is>
      </c>
      <c r="D189" s="29" t="inlineStr">
        <is>
          <t>Critical</t>
        </is>
      </c>
      <c r="E189" s="28" t="inlineStr">
        <is>
          <t>Mechanical</t>
        </is>
      </c>
      <c r="F189" s="35" t="inlineStr">
        <is>
          <t>Fixed</t>
        </is>
      </c>
      <c r="G189" s="31" t="inlineStr">
        <is>
          <t>Owner-confirmed</t>
        </is>
      </c>
      <c r="H189" s="28" t="inlineStr">
        <is>
          <t>Confirmed fixed by the owner (2026-08-05). Not independently re-verified in this session; the Desktop UI audit was closed out separately from the backend remediation stream. Previous register status: Partially fixed.</t>
        </is>
      </c>
    </row>
    <row r="190" ht="15" customHeight="1" s="25">
      <c r="A190" s="27" t="inlineStr">
        <is>
          <t>UI-F5</t>
        </is>
      </c>
      <c r="B190" s="28" t="inlineStr">
        <is>
          <t>Desktop UI</t>
        </is>
      </c>
      <c r="C190" s="28" t="inlineStr">
        <is>
          <t>The documented way to build a screen does not exist</t>
        </is>
      </c>
      <c r="D190" s="29" t="inlineStr">
        <is>
          <t>Critical</t>
        </is>
      </c>
      <c r="E190" s="28" t="inlineStr">
        <is>
          <t>Docs + code</t>
        </is>
      </c>
      <c r="F190" s="28" t="inlineStr">
        <is>
          <t>Fixed</t>
        </is>
      </c>
      <c r="G190" s="28" t="inlineStr">
        <is>
          <t>Owner-confirmed</t>
        </is>
      </c>
      <c r="H190" s="28" t="inlineStr">
        <is>
          <t>Confirmed fixed by the owner (2026-08-05). Not independently re-verified in this session; the Desktop UI audit was closed out separately from the backend remediation stream. Previous register status: Open.</t>
        </is>
      </c>
    </row>
    <row r="191" ht="15" customHeight="1" s="25">
      <c r="A191" s="27" t="inlineStr">
        <is>
          <t>UI-A2</t>
        </is>
      </c>
      <c r="B191" s="28" t="inlineStr">
        <is>
          <t>Desktop UI</t>
        </is>
      </c>
      <c r="C191" s="28" t="inlineStr">
        <is>
          <t>features/sales/ui.tsx is a shadow design system imported by 10 feature areas</t>
        </is>
      </c>
      <c r="D191" s="29" t="inlineStr">
        <is>
          <t>Critical</t>
        </is>
      </c>
      <c r="E191" s="28" t="inlineStr">
        <is>
          <t>Structural</t>
        </is>
      </c>
      <c r="F191" s="28" t="inlineStr">
        <is>
          <t>Fixed</t>
        </is>
      </c>
      <c r="G191" s="28" t="inlineStr">
        <is>
          <t>Owner-confirmed</t>
        </is>
      </c>
      <c r="H191" s="28" t="inlineStr">
        <is>
          <t>Confirmed fixed by the owner (2026-08-05). Not independently re-verified in this session; the Desktop UI audit was closed out separately from the backend remediation stream. Previous register status: Open.</t>
        </is>
      </c>
    </row>
    <row r="192" ht="23.25" customHeight="1" s="25">
      <c r="A192" s="27" t="inlineStr">
        <is>
          <t>UI-F3</t>
        </is>
      </c>
      <c r="B192" s="28" t="inlineStr">
        <is>
          <t>Desktop UI</t>
        </is>
      </c>
      <c r="C192" s="28" t="inlineStr">
        <is>
          <t>Every page self-caps at 1152px (mx-auto max-w-6xl at 86 call sites)</t>
        </is>
      </c>
      <c r="D192" s="32" t="inlineStr">
        <is>
          <t>High</t>
        </is>
      </c>
      <c r="E192" s="28" t="inlineStr">
        <is>
          <t>Mechanical</t>
        </is>
      </c>
      <c r="F192" s="30" t="inlineStr">
        <is>
          <t>Fixed</t>
        </is>
      </c>
      <c r="G192" s="31" t="inlineStr">
        <is>
          <t>Owner-confirmed</t>
        </is>
      </c>
      <c r="H192" s="28" t="inlineStr">
        <is>
          <t>Confirmed fixed by the owner (2026-08-05). Not independently re-verified in this session; the Desktop UI audit was closed out separately from the backend remediation stream. Previous register status: Largely fixed.</t>
        </is>
      </c>
    </row>
    <row r="193" ht="15" customHeight="1" s="25">
      <c r="A193" s="27" t="inlineStr">
        <is>
          <t>UI-F6</t>
        </is>
      </c>
      <c r="B193" s="28" t="inlineStr">
        <is>
          <t>Desktop UI</t>
        </is>
      </c>
      <c r="C193" s="28" t="inlineStr">
        <is>
          <t>Duplication: the same UI reimplemented instead of shared</t>
        </is>
      </c>
      <c r="D193" s="32" t="inlineStr">
        <is>
          <t>High</t>
        </is>
      </c>
      <c r="E193" s="28" t="inlineStr">
        <is>
          <t>Mechanical</t>
        </is>
      </c>
      <c r="F193" s="28" t="inlineStr">
        <is>
          <t>Fixed</t>
        </is>
      </c>
      <c r="G193" s="28" t="inlineStr">
        <is>
          <t>Owner-confirmed</t>
        </is>
      </c>
      <c r="H193" s="28" t="inlineStr">
        <is>
          <t>Confirmed fixed by the owner (2026-08-05). Not independently re-verified in this session; the Desktop UI audit was closed out separately from the backend remediation stream. Previous register status: Open.</t>
        </is>
      </c>
    </row>
    <row r="194" ht="15" customHeight="1" s="25">
      <c r="A194" s="27" t="inlineStr">
        <is>
          <t>UI-F7</t>
        </is>
      </c>
      <c r="B194" s="28" t="inlineStr">
        <is>
          <t>Desktop UI</t>
        </is>
      </c>
      <c r="C194" s="28" t="inlineStr">
        <is>
          <t>Component architecture: god files and no page-level decomposition</t>
        </is>
      </c>
      <c r="D194" s="32" t="inlineStr">
        <is>
          <t>High</t>
        </is>
      </c>
      <c r="E194" s="28" t="inlineStr">
        <is>
          <t>Structural</t>
        </is>
      </c>
      <c r="F194" s="28" t="inlineStr">
        <is>
          <t>Fixed</t>
        </is>
      </c>
      <c r="G194" s="28" t="inlineStr">
        <is>
          <t>Owner-confirmed</t>
        </is>
      </c>
      <c r="H194" s="28" t="inlineStr">
        <is>
          <t>Confirmed fixed by the owner (2026-08-05). Not independently re-verified in this session; the Desktop UI audit was closed out separately from the backend remediation stream. Previous register status: Open.</t>
        </is>
      </c>
    </row>
    <row r="195" ht="15" customHeight="1" s="25">
      <c r="A195" s="27" t="inlineStr">
        <is>
          <t>UI-F13</t>
        </is>
      </c>
      <c r="B195" s="28" t="inlineStr">
        <is>
          <t>Desktop UI</t>
        </is>
      </c>
      <c r="C195" s="28" t="inlineStr">
        <is>
          <t>Accessibility: .micro at 3.01:1 contrast, menu keyboard nav, heading structure</t>
        </is>
      </c>
      <c r="D195" s="32" t="inlineStr">
        <is>
          <t>High</t>
        </is>
      </c>
      <c r="E195" s="28" t="inlineStr">
        <is>
          <t>Mechanical</t>
        </is>
      </c>
      <c r="F195" s="28" t="inlineStr">
        <is>
          <t>Fixed</t>
        </is>
      </c>
      <c r="G195" s="28" t="inlineStr">
        <is>
          <t>Owner-confirmed</t>
        </is>
      </c>
      <c r="H195" s="28" t="inlineStr">
        <is>
          <t>Confirmed fixed by the owner (2026-08-05). Not independently re-verified in this session; the Desktop UI audit was closed out separately from the backend remediation stream. Previous register status: Open.</t>
        </is>
      </c>
    </row>
    <row r="196" ht="15" customHeight="1" s="25">
      <c r="A196" s="27" t="inlineStr">
        <is>
          <t>UI-F16</t>
        </is>
      </c>
      <c r="B196" s="28" t="inlineStr">
        <is>
          <t>Desktop UI</t>
        </is>
      </c>
      <c r="C196" s="28" t="inlineStr">
        <is>
          <t>Tech stack gaps: no frontend tests, no a11y lint</t>
        </is>
      </c>
      <c r="D196" s="32" t="inlineStr">
        <is>
          <t>High</t>
        </is>
      </c>
      <c r="E196" s="28" t="inlineStr">
        <is>
          <t>Tooling</t>
        </is>
      </c>
      <c r="F196" s="28" t="inlineStr">
        <is>
          <t>Fixed</t>
        </is>
      </c>
      <c r="G196" s="28" t="inlineStr">
        <is>
          <t>Owner-confirmed</t>
        </is>
      </c>
      <c r="H196" s="28" t="inlineStr">
        <is>
          <t>Confirmed fixed by the owner (2026-08-05). Not independently re-verified in this session; the Desktop UI audit was closed out separately from the backend remediation stream. Previous register status: Open.</t>
        </is>
      </c>
    </row>
    <row r="197" ht="15" customHeight="1" s="25">
      <c r="A197" s="27" t="inlineStr">
        <is>
          <t>UI-A3</t>
        </is>
      </c>
      <c r="B197" s="28" t="inlineStr">
        <is>
          <t>Desktop UI</t>
        </is>
      </c>
      <c r="C197" s="28" t="inlineStr">
        <is>
          <t>Local re-implementations found only by reading (Segmented x4, Panel x6, FormButtons x7)</t>
        </is>
      </c>
      <c r="D197" s="32" t="inlineStr">
        <is>
          <t>High</t>
        </is>
      </c>
      <c r="E197" s="28" t="inlineStr">
        <is>
          <t>Mechanical</t>
        </is>
      </c>
      <c r="F197" s="28" t="inlineStr">
        <is>
          <t>Fixed</t>
        </is>
      </c>
      <c r="G197" s="28" t="inlineStr">
        <is>
          <t>Owner-confirmed</t>
        </is>
      </c>
      <c r="H197" s="28" t="inlineStr">
        <is>
          <t>Confirmed fixed by the owner (2026-08-05). Not independently re-verified in this session; the Desktop UI audit was closed out separately from the backend remediation stream. Previous register status: Open.</t>
        </is>
      </c>
    </row>
    <row r="198" ht="15" customHeight="1" s="25">
      <c r="A198" s="27" t="inlineStr">
        <is>
          <t>UI-A4</t>
        </is>
      </c>
      <c r="B198" s="28" t="inlineStr">
        <is>
          <t>Desktop UI</t>
        </is>
      </c>
      <c r="C198" s="28" t="inlineStr">
        <is>
          <t>Raw JSON shown to end users</t>
        </is>
      </c>
      <c r="D198" s="32" t="inlineStr">
        <is>
          <t>High</t>
        </is>
      </c>
      <c r="E198" s="28" t="inlineStr">
        <is>
          <t>Code</t>
        </is>
      </c>
      <c r="F198" s="28" t="inlineStr">
        <is>
          <t>Fixed</t>
        </is>
      </c>
      <c r="G198" s="28" t="inlineStr">
        <is>
          <t>Owner-confirmed</t>
        </is>
      </c>
      <c r="H198" s="28" t="inlineStr">
        <is>
          <t>Confirmed fixed by the owner (2026-08-05). Not independently re-verified in this session; the Desktop UI audit was closed out separately from the backend remediation stream. Previous register status: Open.</t>
        </is>
      </c>
    </row>
    <row r="199" ht="23.25" customHeight="1" s="25">
      <c r="A199" s="27" t="inlineStr">
        <is>
          <t>UI-F8</t>
        </is>
      </c>
      <c r="B199" s="28" t="inlineStr">
        <is>
          <t>Desktop UI</t>
        </is>
      </c>
      <c r="C199" s="28" t="inlineStr">
        <is>
          <t>Data fetching: no cache, duplicate requests, client-side filtering over a truncated 50-row window</t>
        </is>
      </c>
      <c r="D199" s="33" t="inlineStr">
        <is>
          <t>Medium</t>
        </is>
      </c>
      <c r="E199" s="28" t="inlineStr">
        <is>
          <t>Code</t>
        </is>
      </c>
      <c r="F199" s="35" t="inlineStr">
        <is>
          <t>Fixed</t>
        </is>
      </c>
      <c r="G199" s="31" t="inlineStr">
        <is>
          <t>Owner-confirmed</t>
        </is>
      </c>
      <c r="H199" s="28" t="inlineStr">
        <is>
          <t>Confirmed fixed by the owner (2026-08-05). Not independently re-verified in this session; the Desktop UI audit was closed out separately from the backend remediation stream. Previous register status: Partially fixed.</t>
        </is>
      </c>
    </row>
    <row r="200" ht="15" customHeight="1" s="25">
      <c r="A200" s="27" t="inlineStr">
        <is>
          <t>UI-F9</t>
        </is>
      </c>
      <c r="B200" s="28" t="inlineStr">
        <is>
          <t>Desktop UI</t>
        </is>
      </c>
      <c r="C200" s="28" t="inlineStr">
        <is>
          <t>Responsive failures beyond the breakpoint gap</t>
        </is>
      </c>
      <c r="D200" s="33" t="inlineStr">
        <is>
          <t>Medium</t>
        </is>
      </c>
      <c r="E200" s="28" t="inlineStr">
        <is>
          <t>Mechanical</t>
        </is>
      </c>
      <c r="F200" s="28" t="inlineStr">
        <is>
          <t>Fixed</t>
        </is>
      </c>
      <c r="G200" s="28" t="inlineStr">
        <is>
          <t>Owner-confirmed</t>
        </is>
      </c>
      <c r="H200" s="28" t="inlineStr">
        <is>
          <t>Confirmed fixed by the owner (2026-08-05). Not independently re-verified in this session; the Desktop UI audit was closed out separately from the backend remediation stream. Previous register status: Open.</t>
        </is>
      </c>
    </row>
    <row r="201" ht="15" customHeight="1" s="25">
      <c r="A201" s="27" t="inlineStr">
        <is>
          <t>UI-F10</t>
        </is>
      </c>
      <c r="B201" s="28" t="inlineStr">
        <is>
          <t>Desktop UI</t>
        </is>
      </c>
      <c r="C201" s="28" t="inlineStr">
        <is>
          <t>Loading states: five different idioms, inconsistently applied</t>
        </is>
      </c>
      <c r="D201" s="33" t="inlineStr">
        <is>
          <t>Medium</t>
        </is>
      </c>
      <c r="E201" s="28" t="inlineStr">
        <is>
          <t>Mechanical</t>
        </is>
      </c>
      <c r="F201" s="28" t="inlineStr">
        <is>
          <t>Fixed</t>
        </is>
      </c>
      <c r="G201" s="28" t="inlineStr">
        <is>
          <t>Owner-confirmed</t>
        </is>
      </c>
      <c r="H201" s="28" t="inlineStr">
        <is>
          <t>Confirmed fixed by the owner (2026-08-05). Not independently re-verified in this session; the Desktop UI audit was closed out separately from the backend remediation stream. Previous register status: Open.</t>
        </is>
      </c>
    </row>
    <row r="202" ht="15" customHeight="1" s="25">
      <c r="A202" s="27" t="inlineStr">
        <is>
          <t>UI-F11</t>
        </is>
      </c>
      <c r="B202" s="28" t="inlineStr">
        <is>
          <t>Desktop UI</t>
        </is>
      </c>
      <c r="C202" s="28" t="inlineStr">
        <is>
          <t>Empty states: good primitive, uneven coverage, generic copy</t>
        </is>
      </c>
      <c r="D202" s="33" t="inlineStr">
        <is>
          <t>Medium</t>
        </is>
      </c>
      <c r="E202" s="28" t="inlineStr">
        <is>
          <t>Mechanical</t>
        </is>
      </c>
      <c r="F202" s="28" t="inlineStr">
        <is>
          <t>Fixed</t>
        </is>
      </c>
      <c r="G202" s="28" t="inlineStr">
        <is>
          <t>Owner-confirmed</t>
        </is>
      </c>
      <c r="H202" s="28" t="inlineStr">
        <is>
          <t>Confirmed fixed by the owner (2026-08-05). Not independently re-verified in this session; the Desktop UI audit was closed out separately from the backend remediation stream. Previous register status: Open.</t>
        </is>
      </c>
    </row>
    <row r="203" ht="15" customHeight="1" s="25">
      <c r="A203" s="27" t="inlineStr">
        <is>
          <t>UI-F12</t>
        </is>
      </c>
      <c r="B203" s="28" t="inlineStr">
        <is>
          <t>Desktop UI</t>
        </is>
      </c>
      <c r="C203" s="28" t="inlineStr">
        <is>
          <t>Errors and edge cases, including a live errMsg double-wrap defect</t>
        </is>
      </c>
      <c r="D203" s="33" t="inlineStr">
        <is>
          <t>Medium</t>
        </is>
      </c>
      <c r="E203" s="28" t="inlineStr">
        <is>
          <t>Code</t>
        </is>
      </c>
      <c r="F203" s="28" t="inlineStr">
        <is>
          <t>Fixed</t>
        </is>
      </c>
      <c r="G203" s="28" t="inlineStr">
        <is>
          <t>Owner-confirmed</t>
        </is>
      </c>
      <c r="H203" s="28" t="inlineStr">
        <is>
          <t>Confirmed fixed by the owner (2026-08-05). Not independently re-verified in this session; the Desktop UI audit was closed out separately from the backend remediation stream. Previous register status: Open.</t>
        </is>
      </c>
    </row>
    <row r="204" ht="15" customHeight="1" s="25">
      <c r="A204" s="27" t="inlineStr">
        <is>
          <t>UI-F14</t>
        </is>
      </c>
      <c r="B204" s="28" t="inlineStr">
        <is>
          <t>Desktop UI</t>
        </is>
      </c>
      <c r="C204" s="28" t="inlineStr">
        <is>
          <t>Visual and UX consistency: 122 raw Tailwind palette colours bypassing the tokens</t>
        </is>
      </c>
      <c r="D204" s="33" t="inlineStr">
        <is>
          <t>Medium</t>
        </is>
      </c>
      <c r="E204" s="28" t="inlineStr">
        <is>
          <t>Mechanical</t>
        </is>
      </c>
      <c r="F204" s="28" t="inlineStr">
        <is>
          <t>Fixed</t>
        </is>
      </c>
      <c r="G204" s="28" t="inlineStr">
        <is>
          <t>Owner-confirmed</t>
        </is>
      </c>
      <c r="H204" s="28" t="inlineStr">
        <is>
          <t>Confirmed fixed by the owner (2026-08-05). Not independently re-verified in this session; the Desktop UI audit was closed out separately from the backend remediation stream. Previous register status: Open.</t>
        </is>
      </c>
    </row>
    <row r="205" ht="15" customHeight="1" s="25">
      <c r="A205" s="27" t="inlineStr">
        <is>
          <t>UI-F15</t>
        </is>
      </c>
      <c r="B205" s="28" t="inlineStr">
        <is>
          <t>Desktop UI</t>
        </is>
      </c>
      <c r="C205" s="28" t="inlineStr">
        <is>
          <t>Developer experience</t>
        </is>
      </c>
      <c r="D205" s="33" t="inlineStr">
        <is>
          <t>Medium</t>
        </is>
      </c>
      <c r="E205" s="28" t="inlineStr">
        <is>
          <t>Tooling</t>
        </is>
      </c>
      <c r="F205" s="28" t="inlineStr">
        <is>
          <t>Fixed</t>
        </is>
      </c>
      <c r="G205" s="28" t="inlineStr">
        <is>
          <t>Owner-confirmed</t>
        </is>
      </c>
      <c r="H205" s="28" t="inlineStr">
        <is>
          <t>Confirmed fixed by the owner (2026-08-05). Not independently re-verified in this session; the Desktop UI audit was closed out separately from the backend remediation stream. Previous register status: Open.</t>
        </is>
      </c>
    </row>
    <row r="206" ht="15" customHeight="1" s="25">
      <c r="A206" s="27" t="inlineStr">
        <is>
          <t>UI-F17</t>
        </is>
      </c>
      <c r="B206" s="28" t="inlineStr">
        <is>
          <t>Desktop UI</t>
        </is>
      </c>
      <c r="C206" s="28" t="inlineStr">
        <is>
          <t>The visual language is a well-executed template and reads as one - typography and density</t>
        </is>
      </c>
      <c r="D206" s="33" t="inlineStr">
        <is>
          <t>Medium</t>
        </is>
      </c>
      <c r="E206" s="28" t="inlineStr">
        <is>
          <t>Token pass</t>
        </is>
      </c>
      <c r="F206" s="28" t="inlineStr">
        <is>
          <t>Fixed</t>
        </is>
      </c>
      <c r="G206" s="28" t="inlineStr">
        <is>
          <t>Owner-confirmed</t>
        </is>
      </c>
      <c r="H206" s="28" t="inlineStr">
        <is>
          <t>Confirmed fixed by the owner (2026-08-05). Not independently re-verified in this session; the Desktop UI audit was closed out separately from the backend remediation stream. Previous register status: Open.</t>
        </is>
      </c>
    </row>
    <row r="207" ht="34.5" customHeight="1" s="25">
      <c r="A207" s="27" t="inlineStr">
        <is>
          <t>NEW-01</t>
        </is>
      </c>
      <c r="B207" s="28" t="inlineStr">
        <is>
          <t>Test &amp; CI/CD</t>
        </is>
      </c>
      <c r="C207" s="28" t="inlineStr">
        <is>
          <t>Dockerfile deps stage never copied packages/, so `@praxis/shared` (a file: dependency) could not be linked — the image had no invoicing module and every final_invoice route 404'd</t>
        </is>
      </c>
      <c r="D207" s="29" t="inlineStr">
        <is>
          <t>Critical</t>
        </is>
      </c>
      <c r="E207" s="28" t="inlineStr">
        <is>
          <t>Docker</t>
        </is>
      </c>
      <c r="F207" s="30" t="inlineStr">
        <is>
          <t>Fixed</t>
        </is>
      </c>
      <c r="G207" s="31" t="inlineStr">
        <is>
          <t>Verified in code</t>
        </is>
      </c>
      <c r="H207" s="28" t="inlineStr">
        <is>
          <t>Layer was cached from before the dep existed, so builds kept passing. Also a time bomb: the next package.json change would fail the build outright. Found by running the test suite. Commit 5ed5870.</t>
        </is>
      </c>
    </row>
    <row r="208" ht="23.25" customHeight="1" s="25">
      <c r="A208" s="27" t="inlineStr">
        <is>
          <t>NEW-02</t>
        </is>
      </c>
      <c r="B208" s="28" t="inlineStr">
        <is>
          <t>Test &amp; CI/CD</t>
        </is>
      </c>
      <c r="C208" s="28" t="inlineStr">
        <is>
          <t>scripts/deploy.sh git-pulls the repo containing itself, so bash keeps executing the OLD file — every change to it took effect one deploy late</t>
        </is>
      </c>
      <c r="D208" s="29" t="inlineStr">
        <is>
          <t>Critical</t>
        </is>
      </c>
      <c r="E208" s="28" t="inlineStr">
        <is>
          <t>Shell</t>
        </is>
      </c>
      <c r="F208" s="30" t="inlineStr">
        <is>
          <t>Fixed</t>
        </is>
      </c>
      <c r="G208" s="31" t="inlineStr">
        <is>
          <t>Verified in code</t>
        </is>
      </c>
      <c r="H208" s="28" t="inlineStr">
        <is>
          <t>Pre-existing. Surfaced when a fix to the backup step was pulled and the run failed with the exact bug it fixed. Now pulls then re-execs. Reproduced standalone. Commit cdc034d.</t>
        </is>
      </c>
    </row>
    <row r="209" ht="34.5" customHeight="1" s="25">
      <c r="A209" s="27" t="inlineStr">
        <is>
          <t>NEW-03</t>
        </is>
      </c>
      <c r="B209" s="28" t="inlineStr">
        <is>
          <t>Test &amp; CI/CD</t>
        </is>
      </c>
      <c r="C209" s="28" t="inlineStr">
        <is>
          <t>Working tree is CRLF while every git blob is LF; a shell script edited on Windows becomes unparseable on the Linux server</t>
        </is>
      </c>
      <c r="D209" s="29" t="inlineStr">
        <is>
          <t>Critical</t>
        </is>
      </c>
      <c r="E209" s="28" t="inlineStr">
        <is>
          <t>Config</t>
        </is>
      </c>
      <c r="F209" s="30" t="inlineStr">
        <is>
          <t>Fixed</t>
        </is>
      </c>
      <c r="G209" s="31" t="inlineStr">
        <is>
          <t>Verified in code</t>
        </is>
      </c>
      <c r="H209" s="28" t="inlineStr">
        <is>
          <t>rollback.sh failed with `syntax error near unexpected token $'do\r'` — the recovery script could not run at all. .gitattributes added; CI now asserts every tracked *.sh is LF and passes bash -n. Commit 54e3f2c.</t>
        </is>
      </c>
    </row>
    <row r="210" ht="34.5" customHeight="1" s="25">
      <c r="A210" s="27" t="inlineStr">
        <is>
          <t>NEW-04</t>
        </is>
      </c>
      <c r="B210" s="28" t="inlineStr">
        <is>
          <t>Data Integrity</t>
        </is>
      </c>
      <c r="C210" s="28" t="inlineStr">
        <is>
          <t>config/database.js is dead code in the API process — initDatabase() is defined and never called anywhere in src/</t>
        </is>
      </c>
      <c r="D210" s="32" t="inlineStr">
        <is>
          <t>High</t>
        </is>
      </c>
      <c r="E210" s="28" t="inlineStr">
        <is>
          <t>Code</t>
        </is>
      </c>
      <c r="F210" s="28" t="inlineStr">
        <is>
          <t>Fixed</t>
        </is>
      </c>
      <c r="G210" s="31" t="inlineStr">
        <is>
          <t>Verified</t>
        </is>
      </c>
      <c r="H210" s="28" t="inlineStr">
        <is>
          <t>config/database.js deleted. It was worse than dead: initDatabase() is never called anywhere in src/, and TWO live modules imported it - jobs/corn-lock.js (getPool) and shared/push/push.service.js (query). Proven getPool() throws 'db pool not initialised', so every cron job wrapped in withCronLock threw on its first line and, because jobs swallow their own errors, had never once acquired an advisory lock. push.service's try/catch guarded the REQUIRE, which never failed; the failure was one level deeper at use. Both repointed at services/platform/db.js, which exports the identical {getPool, query, close} surface. Verified no remaining references outside comments.</t>
        </is>
      </c>
    </row>
    <row r="211" ht="34.5" customHeight="1" s="25">
      <c r="A211" s="27" t="inlineStr">
        <is>
          <t>NEW-05</t>
        </is>
      </c>
      <c r="B211" s="28" t="inlineStr">
        <is>
          <t>Data Integrity</t>
        </is>
      </c>
      <c r="C211" s="28" t="inlineStr">
        <is>
          <t>Depreciation rows already written with posted=true and entry_id NULL — the register reports accumulated depreciation the trial balance does not contain</t>
        </is>
      </c>
      <c r="D211" s="29" t="inlineStr">
        <is>
          <t>Critical</t>
        </is>
      </c>
      <c r="E211" s="28" t="inlineStr">
        <is>
          <t>Data repair</t>
        </is>
      </c>
      <c r="F211" s="28" t="inlineStr">
        <is>
          <t>Fixed</t>
        </is>
      </c>
      <c r="G211" s="31" t="inlineStr">
        <is>
          <t>Verified</t>
        </is>
      </c>
      <c r="H211" s="28" t="inlineStr">
        <is>
          <t>Migration 0502 adds CHECK (posted = false OR entry_id IS NOT NULL) on depreciation_schedule, making the broken state unrepresentable. The code path was fixed by DATA 5.5; this stops a future edit reintroducing it. The converse (entry_id set, posted false) is deliberately allowed - it is the legitimate intermediate under the corrected ordering. NOT VALID because rows in the broken state already exist in production; scripts/db/reconcile-depreciation.js must run first, then VALIDATE. OWNER ACTION STILL OUTSTANDING: the books are wrong until that script is run.</t>
        </is>
      </c>
    </row>
    <row r="212" ht="23.25" customHeight="1" s="25">
      <c r="A212" s="27" t="inlineStr">
        <is>
          <t>NEW-06</t>
        </is>
      </c>
      <c r="B212" s="28" t="inlineStr">
        <is>
          <t>Observability</t>
        </is>
      </c>
      <c r="C212" s="28" t="inlineStr">
        <is>
          <t>pino-pretty transport was spawned under NODE_ENV=test, leaking a worker thread per Jest process</t>
        </is>
      </c>
      <c r="D212" s="34" t="inlineStr">
        <is>
          <t>Low</t>
        </is>
      </c>
      <c r="E212" s="28" t="inlineStr">
        <is>
          <t>Config</t>
        </is>
      </c>
      <c r="F212" s="30" t="inlineStr">
        <is>
          <t>Fixed</t>
        </is>
      </c>
      <c r="G212" s="31" t="inlineStr">
        <is>
          <t>Verified in code</t>
        </is>
      </c>
      <c r="H212" s="28" t="inlineStr">
        <is>
          <t>Caused 'A worker process has failed to exit gracefully'. Bought nothing — jest.setup.js already silences output. Pretty-printing is now development-only. Commit 5ed5870.</t>
        </is>
      </c>
    </row>
    <row r="213" s="25">
      <c r="A213" s="24" t="inlineStr">
        <is>
          <t>NEW-07</t>
        </is>
      </c>
      <c r="B213" s="24" t="inlineStr">
        <is>
          <t>Security</t>
        </is>
      </c>
      <c r="C213" s="24" t="inlineStr">
        <is>
          <t>POST /sessions/:id/kill has authMiddleware but no requirePermission — any authenticated user can revoke any session by id</t>
        </is>
      </c>
      <c r="D213" s="24" t="inlineStr">
        <is>
          <t>Medium</t>
        </is>
      </c>
      <c r="E213" s="24" t="inlineStr">
        <is>
          <t>Code</t>
        </is>
      </c>
      <c r="F213" s="24" t="inlineStr">
        <is>
          <t>Open</t>
        </is>
      </c>
      <c r="G213" s="24" t="inlineStr">
        <is>
          <t>Not started</t>
        </is>
      </c>
      <c r="H213" s="24" t="inlineStr">
        <is>
          <t>Found 2026-08-05 while verifying the incident runbook's containment steps against the real routes. Every other write on session.routes.js carries requirePermission(MODULE, ...) — create, update, archive — and this one does not. Session ids are uuids so it is not trivially enumerable, but a session id leaks into logs and error payloads more readily than a password does, and the effect is forced logout of an arbitrary user (nuisance, or targeted denial of access to an approver mid-workflow). The sibling route /mine/revoke-all is correctly ungated because it is self-scoped.</t>
        </is>
      </c>
    </row>
    <row r="214" s="25">
      <c r="A214" s="24" t="inlineStr">
        <is>
          <t>NEW-08</t>
        </is>
      </c>
      <c r="B214" s="24" t="inlineStr">
        <is>
          <t>Data Integrity</t>
        </is>
      </c>
      <c r="C214" s="24" t="inlineStr">
        <is>
          <t>dossier has no `title` column, yet both services that open a dossier from a won opportunity write one — the sales→operations handoff has never worked by either route</t>
        </is>
      </c>
      <c r="D214" s="24" t="inlineStr">
        <is>
          <t>High</t>
        </is>
      </c>
      <c r="E214" s="24" t="inlineStr">
        <is>
          <t>Code + migration</t>
        </is>
      </c>
      <c r="F214" s="24" t="inlineStr">
        <is>
          <t>Fixed</t>
        </is>
      </c>
      <c r="G214" s="24" t="inlineStr">
        <is>
          <t>Verified in code</t>
        </is>
      </c>
      <c r="H214" s="24" t="inlineStr">
        <is>
          <t>Found 2026-08-05 the first time the integration job ran against a real Postgres (TC-CI6). 0310 created dossier with no title and the only ALTER since (0479) adds pol/pod_place_id, but orchestration/handlers/opportunity-won-open-dossier.js:48 and sales/opportunity.service.js:62 both pass title: opp.name. insertOne builds its column list from Object.keys(data) and validates each key as an IDENTIFIER, which 'title' is — so it reached Postgres and returned 42703. TWO failure modes: the event route rolls back inside the outbox, retries to DEAD, and returns 200 to the user (opportunity marked WON, no dossier, no link — Operations never sees the job); the synchronous route POST /opportunities/:id/win with createDossier:true is not swallowed and 500s, so that flag has never once succeeded. The downstream costing 'dossier_id violates not-null' failures are the same defect one step later. FIX: migration 0508 adds the column (nullable) + backfills from opportunity.name where a dossier was linked by hand, chosen over deleting the argument because both call sites are carrying the deal name across the one boundary where Operations needs it and dossier's only other label is the machine-allocated ref. Also declared a `writable` allow-list on the dossier repo — the layer that would have caught this, since the zod validator strips unknown keys but BOTH broken call sites reach service.create in-process with no HTTP anywhere near them. tests/unit/dossier-columns.test.js reconciles that list and both call-site payloads against the columns the migrations declare, with no DB, so the next mismatch fails in the fast suite. CAVEAT, stated plainly: 0508 has NOT been executed — this session has no Postgres and no libpg-query, so it is unparsed and unapplied. Confirmation is `npm run db:migrate:tenants` then the orchestration integration suite. Not committed; left in the working tree.</t>
        </is>
      </c>
    </row>
    <row r="215" s="25">
      <c r="A215" s="24" t="inlineStr">
        <is>
          <t>NEW-09</t>
        </is>
      </c>
      <c r="B215" s="24" t="inlineStr">
        <is>
          <t>Test &amp; CI/CD</t>
        </is>
      </c>
      <c r="C215" s="24" t="inlineStr">
        <is>
          <t>The integration fixture never satisfied the contract the integration suites document, and a negative test passed for the wrong reason for its whole life</t>
        </is>
      </c>
      <c r="D215" s="24" t="inlineStr">
        <is>
          <t>High</t>
        </is>
      </c>
      <c r="E215" s="24" t="inlineStr">
        <is>
          <t>Config + tests</t>
        </is>
      </c>
      <c r="F215" s="24" t="inlineStr">
        <is>
          <t>Fixed</t>
        </is>
      </c>
      <c r="G215" s="24" t="inlineStr">
        <is>
          <t>Verified in code</t>
        </is>
      </c>
      <c r="H215" s="24" t="inlineStr">
        <is>
          <t>Found 2026-08-05 on the first real run of the integration job. THREE distinct defects, one cause — the fixture was written from what the suites obviously needed rather than from what their headers say they need. (1) NO accounting_period was seeded, though both suites document one: journal-posting failed 'No accounting period covers &lt;today&gt;' and ledger-hardening's beforeAll left `period` undefined, so all six of its tests died on `period.period_id` — six identical 'Cannot read properties of undefined' failures naming the reader, not the cause. (2) Both suites posted to account 521, which is the PARENT 'Banques locales' with is_postable=false; 5211 'Banque principale' is the leaf. The service refused it with 'account 521 is not postable (KB 23.3)' — the rule working correctly. (3) Worst of the three: journal-posting's 'rejects an unbalanced entry' asserted only `.rejects.toThrow()`, so it PASSED on the not-postable error and never once reached the balance check it is named after. A negative test that cannot say why it failed will pass for the wrong reason indefinitely. FIX: ci.yaml seeds an OPEN calendar-month period around CURRENT_DATE (computed in SQL, so it cannot drift from the runner clock) and ASSERTS exactly one covers today before running anything; both suites post to 5211; the unbalanced test now asserts /Out of balance/; ledger-hardening's beforeAll throws a message naming the missing fixture instead of letting six tests fail on the symptom. NOT RUN: this session has no Postgres, so ci.yaml is YAML-validated and the suites parse-checked only — the job itself is the verification.</t>
        </is>
      </c>
    </row>
    <row r="216" s="25">
      <c r="A216" s="24" t="inlineStr">
        <is>
          <t>NEW-10</t>
        </is>
      </c>
      <c r="B216" s="24" t="inlineStr">
        <is>
          <t>Test &amp; CI/CD</t>
        </is>
      </c>
      <c r="C216" s="24" t="inlineStr">
        <is>
          <t>Client spies typed as ReturnType&lt;typeof vi.spyOn&gt; erased the signature, so nine test fixtures could omit required fields of the type they stood in for</t>
        </is>
      </c>
      <c r="D216" s="24" t="inlineStr">
        <is>
          <t>Medium</t>
        </is>
      </c>
      <c r="E216" s="24" t="inlineStr">
        <is>
          <t>Tests</t>
        </is>
      </c>
      <c r="F216" s="24" t="inlineStr">
        <is>
          <t>Fixed</t>
        </is>
      </c>
      <c r="G216" s="24" t="inlineStr">
        <is>
          <t>Verified in code</t>
        </is>
      </c>
      <c r="H216" s="24" t="inlineStr">
        <is>
          <t>Surfaced when the client was pinned to vitest ^3 to match vite 5 and `tsc -b` failed on use-list-paged.test.tsx and use-resource.test.tsx. `ReturnType&lt;typeof vi.spyOn&gt;` names the generic WITHOUT instantiating it, so it resolves to MockInstance&lt;(this: unknown, ...args: unknown[]) =&gt; unknown&gt; — the uninstantiated default. MockInstance is invariant in its parameter, so the real spy would not assign to it. It compiled under vitest 4 by accident of that major's typings. FIXED by typing from the function being spied on (MockInstance&lt;typeof apiClient.tenantPaged&gt;), which is both more precise and indifferent to the vitest major. THAT CHANGE THEN REVEALED THE REAL DEFECT: every mockResolvedValue passed { data, total } only, while Paged&lt;T&gt; also requires limit, offset and hasMore — the API F-26 metadata added so a list screen could stop presenting the first 50 rows as the whole set. The fake had been handing the hook undefined for all three and nothing could complain, because the erased type let mockResolvedValue accept anything at all. Same shape as TC-Q3 from a different angle: a fake that cannot disagree with the contract it replaces. A `paged()` helper now fills the envelope; no assertion changed, because no test reads those three — which is the point. DECISION RECORDED: stay on vite 5 + vitest 3 rather than moving to vite 7 + vitest 4. The forward path keeps these two files untouched but is a build-tool major that cannot be verified without a real build, and PERF-S8 (a Vite config change needing exactly that) is already open. Client `tsc --noEmit` is clean across all of src. The vitest RUN could not be executed here: node_modules was installed on Windows so @rollup/rollup-linux-x64-gnu is absent.</t>
        </is>
      </c>
    </row>
    <row r="217" s="25">
      <c r="A217" s="24" t="inlineStr">
        <is>
          <t>NEW-11</t>
        </is>
      </c>
      <c r="B217" s="24" t="inlineStr">
        <is>
          <t>Desktop UI</t>
        </is>
      </c>
      <c r="C217" s="24" t="inlineStr">
        <is>
          <t>A Postgres `date` is serialised to a UTC instant at the API's local midnight and then formatted in the browser's timezone, so any viewer in a different zone from the API sees the wrong day</t>
        </is>
      </c>
      <c r="D217" s="24" t="inlineStr">
        <is>
          <t>Medium</t>
        </is>
      </c>
      <c r="E217" s="24" t="inlineStr">
        <is>
          <t>Code</t>
        </is>
      </c>
      <c r="F217" s="24" t="inlineStr">
        <is>
          <t>Open</t>
        </is>
      </c>
      <c r="G217" s="24" t="inlineStr">
        <is>
          <t>Not started</t>
        </is>
      </c>
      <c r="H217" s="24" t="inlineStr">
        <is>
          <t>Found 2026-08-05 by a client test that failed only off the CI runner. `dossier.eta` is a `date` column; node-pg materialises it at the API process's LOCAL midnight, so a date of 2026-07-05 leaves a WAT (UTC+1) API as '2026-07-04T23:00:00.000Z'. The client's dateFmt then calls toLocaleDateString with NO timeZone option, i.e. renders in the VIEWER's zone. The two cancel out only while client and API share a timezone. A user in UTC looking at that payload sees '04 Jul' for a shipment due the 5th; the model.ts comment already half-knows this — 'the midnight-UTC time component is a serialisation artefact, not information' — but nothing acts on it. Applies to every date column rendered through dateFmt, not just ETA. NOT FIXED HERE because it is a policy decision with more than one defensible answer: serialise date columns as 'YYYY-MM-DD' strings at the API (cleanest, touches every date endpoint); or format with an explicit timeZone client-side (localised, but which zone — the viewer's, the tenant's, or the port's?). For a freight system an ETA arguably belongs in the PORT's timezone, which is a third answer again. Needs a decision, not a patch. The test that surfaced it is now deterministic (see NEW-12) so this does not resurface as a flake.</t>
        </is>
      </c>
    </row>
    <row r="218" s="25">
      <c r="A218" s="24" t="inlineStr">
        <is>
          <t>NEW-12</t>
        </is>
      </c>
      <c r="B218" s="24" t="inlineStr">
        <is>
          <t>Test &amp; CI/CD</t>
        </is>
      </c>
      <c r="C218" s="24" t="inlineStr">
        <is>
          <t>Four client-suite failures: a test that could only ever run on Linux, a Zod instance split caused by the vitest pin, an assertion that depended on the developer's timezone, and a shell rendered without the app's providers</t>
        </is>
      </c>
      <c r="D218" s="24" t="inlineStr">
        <is>
          <t>Medium</t>
        </is>
      </c>
      <c r="E218" s="24" t="inlineStr">
        <is>
          <t>Tests + config</t>
        </is>
      </c>
      <c r="F218" s="24" t="inlineStr">
        <is>
          <t>Fixed</t>
        </is>
      </c>
      <c r="G218" s="24" t="inlineStr">
        <is>
          <t>Verified in code</t>
        </is>
      </c>
      <c r="H218" s="24" t="inlineStr">
        <is>
          <t>The first full `npm test` in the client: 726 passed, 3 failed, and all three were about the ENVIRONMENT rather than the code under test. (1) new-screen.test.ts called execFileSync('mkdir', ['-p', dir]) — there is no mkdir BINARY on Windows, it is a cmd.exe builtin, and execFileSync uses no shell, so that line could only ever run on Linux/macOS: `spawnSync mkdir ENOENT`. Now mkdirSync({recursive:true}). The same file shelled out to `npx` twice, which fails identically on Windows (npx.cmd); adding shell:true would have fixed the launch and broken the arguments, re-splitting --name "Widget orders" on the space, so those now invoke node against the local bin scripts directly — portable and a process faster. (2) form.test.tsx's toBeInstanceOf(z.ZodType) failed because Zod's conditional exports answer `require` with ./index.cjs and `import` with ./index.js: two module instances, instanceof false across them. config/shared-alias.ts asserted the opposite in a comment — 'Vitest externalises node_modules and loads them through Node, whose exports map hands BOTH sides ./index.cjs' — which is measurably untrue; it held only because vitest 4 put both sides through CJS interop, and stopped when the client was pinned to vitest 3 to match vite 5 (commit c58b10f). The alias now names ./index.cjs explicitly for the node target, which is one instance BY CONSTRUCTION whatever the runner does. Both claims measured in plain Node, both directions, before and after. (3) model.test.ts asserted an ETA renders '04 Jul 2026', true at UTC and false in Douala where the team sits — green on the runner nobody reads, red on the machines everybody uses. No timestamp fixes this: for a date to survive UTC-12..UTC+14 the UTC hour must be both &gt;=12 and &lt;=9. vitest.config.ts now pins TZ=UTC, and the fixture moved to midday to widen the margin if that pin is ever dropped. The underlying off-by-one is real and is NEW-11, deliberately not papered over. VERIFIED: client tsc --noEmit clean across all of src; the timezone behaviour measured across six zones; both zod entry points measured. NOT RUN: the client vitest suite could not be executed in this session — node_modules was installed on Windows, so the Linux esbuild/rollup binaries are absent and vite resolves them from that tree. FOURTH, found on the re-run: top-shell.test.tsx (new) rendered AppShell inside a bare MemoryRouter. AppShell's useUnreadCounts calls useQueryClient(), which throws 'No QueryClient set' DURING RENDER, so all six tests in the file died before asserting anything about the title bar strip. It now uses renderScreen() from the screen-harness, which mounts the app's root providers — QueryClient, Toast, Tooltip, router. Notable because the harness's own comment already predicted this: it gained ToastProvider after the journal-entry form lost four assertions to exactly the same shape, and the note there says 'the only path that exercised the harness was the only path that could not see what it was missing'. A shell is the component most likely to reach for any root provider, so assembling a subset of them by hand discovers which one is missing a hook at a time. With no fixtures declared the api-client fake answers every path with [], so the unread-count queries resolve empty. Client tsc --noEmit clean; the suite itself still could not be executed here (jsdom setup exceeds the sandbox's per-command limit).</t>
        </is>
      </c>
    </row>
  </sheetData>
  <autoFilter ref="A1:H212"/>
  <dataValidations count="1">
    <dataValidation sqref="F2:F206" showDropDown="0" showInputMessage="0" showErrorMessage="0" allowBlank="1" type="list" errorStyle="stop" operator="between">
      <formula1>"Open,In progress,Partially fixed,Largely fixed,Fixed,Closed,Won't fix,Deferred"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6" customWidth="1" style="24" min="1" max="1"/>
    <col width="13" customWidth="1" style="24" min="2" max="8"/>
  </cols>
  <sheetData>
    <row r="1" ht="17.25" customHeight="1" s="25">
      <c r="A1" s="39" t="inlineStr">
        <is>
          <t>Praxis LS - consolidated audit register, 2026-08-04</t>
        </is>
      </c>
      <c r="B1" s="40" t="n"/>
      <c r="C1" s="40" t="n"/>
      <c r="D1" s="40" t="n"/>
      <c r="E1" s="40" t="n"/>
      <c r="F1" s="40" t="n"/>
      <c r="G1" s="40" t="n"/>
      <c r="H1" s="40" t="n"/>
    </row>
    <row r="2" ht="15" customHeight="1" s="25">
      <c r="A2" s="41" t="inlineStr">
        <is>
          <t>Seven Phase-0 audits. One row per headline finding on the Register sheet.</t>
        </is>
      </c>
      <c r="B2" s="40" t="n"/>
      <c r="C2" s="40" t="n"/>
      <c r="D2" s="40" t="n"/>
      <c r="E2" s="40" t="n"/>
      <c r="F2" s="40" t="n"/>
      <c r="G2" s="40" t="n"/>
      <c r="H2" s="40" t="n"/>
    </row>
    <row r="3" ht="15" customHeight="1" s="25">
      <c r="A3" s="42" t="n"/>
      <c r="B3" s="40" t="n"/>
      <c r="C3" s="40" t="n"/>
      <c r="D3" s="40" t="n"/>
      <c r="E3" s="40" t="n"/>
      <c r="F3" s="40" t="n"/>
      <c r="G3" s="40" t="n"/>
      <c r="H3" s="40" t="n"/>
    </row>
    <row r="4" ht="15" customHeight="1" s="25">
      <c r="A4" s="43" t="inlineStr">
        <is>
          <t>Audit</t>
        </is>
      </c>
      <c r="B4" s="44" t="inlineStr">
        <is>
          <t>Critical</t>
        </is>
      </c>
      <c r="C4" s="44" t="inlineStr">
        <is>
          <t>High</t>
        </is>
      </c>
      <c r="D4" s="44" t="inlineStr">
        <is>
          <t>Medium-High</t>
        </is>
      </c>
      <c r="E4" s="44" t="inlineStr">
        <is>
          <t>Medium</t>
        </is>
      </c>
      <c r="F4" s="44" t="inlineStr">
        <is>
          <t>Low-Medium</t>
        </is>
      </c>
      <c r="G4" s="44" t="inlineStr">
        <is>
          <t>Low</t>
        </is>
      </c>
      <c r="H4" s="44" t="inlineStr">
        <is>
          <t>Total</t>
        </is>
      </c>
    </row>
    <row r="5" ht="15" customHeight="1" s="25">
      <c r="A5" s="45" t="inlineStr">
        <is>
          <t>Security</t>
        </is>
      </c>
      <c r="B5" s="46">
        <f>COUNTIFS(Register!$B$2:$B$500,$A5,Register!$D$2:$D$500,B$4)</f>
        <v/>
      </c>
      <c r="C5" s="46">
        <f>COUNTIFS(Register!$B$2:$B$500,$A5,Register!$D$2:$D$500,C$4)</f>
        <v/>
      </c>
      <c r="D5" s="46">
        <f>COUNTIFS(Register!$B$2:$B$500,$A5,Register!$D$2:$D$500,D$4)</f>
        <v/>
      </c>
      <c r="E5" s="46">
        <f>COUNTIFS(Register!$B$2:$B$500,$A5,Register!$D$2:$D$500,E$4)</f>
        <v/>
      </c>
      <c r="F5" s="46">
        <f>COUNTIFS(Register!$B$2:$B$500,$A5,Register!$D$2:$D$500,F$4)</f>
        <v/>
      </c>
      <c r="G5" s="46">
        <f>COUNTIFS(Register!$B$2:$B$500,$A5,Register!$D$2:$D$500,G$4)</f>
        <v/>
      </c>
      <c r="H5" s="46">
        <f>SUM(B5:G5)</f>
        <v/>
      </c>
    </row>
    <row r="6" ht="15" customHeight="1" s="25">
      <c r="A6" s="45" t="inlineStr">
        <is>
          <t>Data Integrity</t>
        </is>
      </c>
      <c r="B6" s="46">
        <f>COUNTIFS(Register!$B$2:$B$500,$A6,Register!$D$2:$D$500,B$4)</f>
        <v/>
      </c>
      <c r="C6" s="46">
        <f>COUNTIFS(Register!$B$2:$B$500,$A6,Register!$D$2:$D$500,C$4)</f>
        <v/>
      </c>
      <c r="D6" s="46">
        <f>COUNTIFS(Register!$B$2:$B$500,$A6,Register!$D$2:$D$500,D$4)</f>
        <v/>
      </c>
      <c r="E6" s="46">
        <f>COUNTIFS(Register!$B$2:$B$500,$A6,Register!$D$2:$D$500,E$4)</f>
        <v/>
      </c>
      <c r="F6" s="46">
        <f>COUNTIFS(Register!$B$2:$B$500,$A6,Register!$D$2:$D$500,F$4)</f>
        <v/>
      </c>
      <c r="G6" s="46">
        <f>COUNTIFS(Register!$B$2:$B$500,$A6,Register!$D$2:$D$500,G$4)</f>
        <v/>
      </c>
      <c r="H6" s="46">
        <f>SUM(B6:G6)</f>
        <v/>
      </c>
    </row>
    <row r="7" ht="15" customHeight="1" s="25">
      <c r="A7" s="45" t="inlineStr">
        <is>
          <t>Observability</t>
        </is>
      </c>
      <c r="B7" s="46">
        <f>COUNTIFS(Register!$B$2:$B$500,$A7,Register!$D$2:$D$500,B$4)</f>
        <v/>
      </c>
      <c r="C7" s="46">
        <f>COUNTIFS(Register!$B$2:$B$500,$A7,Register!$D$2:$D$500,C$4)</f>
        <v/>
      </c>
      <c r="D7" s="46">
        <f>COUNTIFS(Register!$B$2:$B$500,$A7,Register!$D$2:$D$500,D$4)</f>
        <v/>
      </c>
      <c r="E7" s="46">
        <f>COUNTIFS(Register!$B$2:$B$500,$A7,Register!$D$2:$D$500,E$4)</f>
        <v/>
      </c>
      <c r="F7" s="46">
        <f>COUNTIFS(Register!$B$2:$B$500,$A7,Register!$D$2:$D$500,F$4)</f>
        <v/>
      </c>
      <c r="G7" s="46">
        <f>COUNTIFS(Register!$B$2:$B$500,$A7,Register!$D$2:$D$500,G$4)</f>
        <v/>
      </c>
      <c r="H7" s="46">
        <f>SUM(B7:G7)</f>
        <v/>
      </c>
    </row>
    <row r="8" ht="15" customHeight="1" s="25">
      <c r="A8" s="45" t="inlineStr">
        <is>
          <t>API Contract</t>
        </is>
      </c>
      <c r="B8" s="46">
        <f>COUNTIFS(Register!$B$2:$B$500,$A8,Register!$D$2:$D$500,B$4)</f>
        <v/>
      </c>
      <c r="C8" s="46">
        <f>COUNTIFS(Register!$B$2:$B$500,$A8,Register!$D$2:$D$500,C$4)</f>
        <v/>
      </c>
      <c r="D8" s="46">
        <f>COUNTIFS(Register!$B$2:$B$500,$A8,Register!$D$2:$D$500,D$4)</f>
        <v/>
      </c>
      <c r="E8" s="46">
        <f>COUNTIFS(Register!$B$2:$B$500,$A8,Register!$D$2:$D$500,E$4)</f>
        <v/>
      </c>
      <c r="F8" s="46">
        <f>COUNTIFS(Register!$B$2:$B$500,$A8,Register!$D$2:$D$500,F$4)</f>
        <v/>
      </c>
      <c r="G8" s="46">
        <f>COUNTIFS(Register!$B$2:$B$500,$A8,Register!$D$2:$D$500,G$4)</f>
        <v/>
      </c>
      <c r="H8" s="46">
        <f>SUM(B8:G8)</f>
        <v/>
      </c>
    </row>
    <row r="9" ht="15" customHeight="1" s="25">
      <c r="A9" s="45" t="inlineStr">
        <is>
          <t>Perf &amp; Architecture</t>
        </is>
      </c>
      <c r="B9" s="46">
        <f>COUNTIFS(Register!$B$2:$B$500,$A9,Register!$D$2:$D$500,B$4)</f>
        <v/>
      </c>
      <c r="C9" s="46">
        <f>COUNTIFS(Register!$B$2:$B$500,$A9,Register!$D$2:$D$500,C$4)</f>
        <v/>
      </c>
      <c r="D9" s="46">
        <f>COUNTIFS(Register!$B$2:$B$500,$A9,Register!$D$2:$D$500,D$4)</f>
        <v/>
      </c>
      <c r="E9" s="46">
        <f>COUNTIFS(Register!$B$2:$B$500,$A9,Register!$D$2:$D$500,E$4)</f>
        <v/>
      </c>
      <c r="F9" s="46">
        <f>COUNTIFS(Register!$B$2:$B$500,$A9,Register!$D$2:$D$500,F$4)</f>
        <v/>
      </c>
      <c r="G9" s="46">
        <f>COUNTIFS(Register!$B$2:$B$500,$A9,Register!$D$2:$D$500,G$4)</f>
        <v/>
      </c>
      <c r="H9" s="46">
        <f>SUM(B9:G9)</f>
        <v/>
      </c>
    </row>
    <row r="10" ht="15" customHeight="1" s="25">
      <c r="A10" s="45" t="inlineStr">
        <is>
          <t>Test &amp; CI/CD</t>
        </is>
      </c>
      <c r="B10" s="46">
        <f>COUNTIFS(Register!$B$2:$B$500,$A10,Register!$D$2:$D$500,B$4)</f>
        <v/>
      </c>
      <c r="C10" s="46">
        <f>COUNTIFS(Register!$B$2:$B$500,$A10,Register!$D$2:$D$500,C$4)</f>
        <v/>
      </c>
      <c r="D10" s="46">
        <f>COUNTIFS(Register!$B$2:$B$500,$A10,Register!$D$2:$D$500,D$4)</f>
        <v/>
      </c>
      <c r="E10" s="46">
        <f>COUNTIFS(Register!$B$2:$B$500,$A10,Register!$D$2:$D$500,E$4)</f>
        <v/>
      </c>
      <c r="F10" s="46">
        <f>COUNTIFS(Register!$B$2:$B$500,$A10,Register!$D$2:$D$500,F$4)</f>
        <v/>
      </c>
      <c r="G10" s="46">
        <f>COUNTIFS(Register!$B$2:$B$500,$A10,Register!$D$2:$D$500,G$4)</f>
        <v/>
      </c>
      <c r="H10" s="46">
        <f>SUM(B10:G10)</f>
        <v/>
      </c>
    </row>
    <row r="11" ht="15" customHeight="1" s="25">
      <c r="A11" s="45" t="inlineStr">
        <is>
          <t>Desktop UI</t>
        </is>
      </c>
      <c r="B11" s="46">
        <f>COUNTIFS(Register!$B$2:$B$500,$A11,Register!$D$2:$D$500,B$4)</f>
        <v/>
      </c>
      <c r="C11" s="46">
        <f>COUNTIFS(Register!$B$2:$B$500,$A11,Register!$D$2:$D$500,C$4)</f>
        <v/>
      </c>
      <c r="D11" s="46">
        <f>COUNTIFS(Register!$B$2:$B$500,$A11,Register!$D$2:$D$500,D$4)</f>
        <v/>
      </c>
      <c r="E11" s="46">
        <f>COUNTIFS(Register!$B$2:$B$500,$A11,Register!$D$2:$D$500,E$4)</f>
        <v/>
      </c>
      <c r="F11" s="46">
        <f>COUNTIFS(Register!$B$2:$B$500,$A11,Register!$D$2:$D$500,F$4)</f>
        <v/>
      </c>
      <c r="G11" s="46">
        <f>COUNTIFS(Register!$B$2:$B$500,$A11,Register!$D$2:$D$500,G$4)</f>
        <v/>
      </c>
      <c r="H11" s="46">
        <f>SUM(B11:G11)</f>
        <v/>
      </c>
    </row>
    <row r="12" ht="15" customHeight="1" s="25">
      <c r="A12" s="45" t="inlineStr">
        <is>
          <t>Total</t>
        </is>
      </c>
      <c r="B12" s="47">
        <f>SUM(B5:B11)</f>
        <v/>
      </c>
      <c r="C12" s="47">
        <f>SUM(C5:C11)</f>
        <v/>
      </c>
      <c r="D12" s="47">
        <f>SUM(D5:D11)</f>
        <v/>
      </c>
      <c r="E12" s="47">
        <f>SUM(E5:E11)</f>
        <v/>
      </c>
      <c r="F12" s="47">
        <f>SUM(F5:F11)</f>
        <v/>
      </c>
      <c r="G12" s="47">
        <f>SUM(G5:G11)</f>
        <v/>
      </c>
      <c r="H12" s="47">
        <f>SUM(H5:H11)</f>
        <v/>
      </c>
    </row>
    <row r="13" ht="15" customHeight="1" s="25">
      <c r="A13" s="45" t="n"/>
      <c r="B13" s="46" t="n"/>
      <c r="C13" s="46" t="n"/>
      <c r="D13" s="46" t="n"/>
      <c r="E13" s="46" t="n"/>
      <c r="F13" s="46" t="n"/>
      <c r="G13" s="46" t="n"/>
      <c r="H13" s="46" t="n"/>
    </row>
    <row r="14" ht="15" customHeight="1" s="25">
      <c r="A14" s="45" t="inlineStr">
        <is>
          <t>Status roll-up</t>
        </is>
      </c>
      <c r="B14" s="46" t="n"/>
      <c r="C14" s="46" t="n"/>
      <c r="D14" s="46" t="n"/>
      <c r="E14" s="46" t="n"/>
      <c r="F14" s="46" t="n"/>
      <c r="G14" s="46" t="n"/>
      <c r="H14" s="46" t="n"/>
    </row>
    <row r="15" ht="15" customHeight="1" s="25">
      <c r="A15" s="45" t="inlineStr">
        <is>
          <t>Open</t>
        </is>
      </c>
      <c r="B15" s="46">
        <f>COUNTIF(Register!$F$2:$F$500,$A15)</f>
        <v/>
      </c>
      <c r="C15" s="46" t="n"/>
      <c r="D15" s="46" t="n"/>
      <c r="E15" s="46" t="n"/>
      <c r="F15" s="46" t="n"/>
      <c r="G15" s="46" t="n"/>
      <c r="H15" s="46" t="n"/>
    </row>
    <row r="16" ht="15" customHeight="1" s="25">
      <c r="A16" s="45" t="inlineStr">
        <is>
          <t>Partially fixed</t>
        </is>
      </c>
      <c r="B16" s="46">
        <f>COUNTIF(Register!$F$2:$F$500,$A16)</f>
        <v/>
      </c>
      <c r="C16" s="46" t="n"/>
      <c r="D16" s="46" t="n"/>
      <c r="E16" s="46" t="n"/>
      <c r="F16" s="46" t="n"/>
      <c r="G16" s="46" t="n"/>
      <c r="H16" s="46" t="n"/>
    </row>
    <row r="17" ht="15" customHeight="1" s="25">
      <c r="A17" s="45" t="inlineStr">
        <is>
          <t>Fixed</t>
        </is>
      </c>
      <c r="B17" s="46">
        <f>COUNTIF(Register!$F$2:$F$500,"Fixed")</f>
        <v/>
      </c>
      <c r="C17" s="46" t="n"/>
      <c r="D17" s="46" t="n"/>
      <c r="E17" s="46" t="n"/>
      <c r="F17" s="46" t="n"/>
      <c r="G17" s="46" t="n"/>
      <c r="H17" s="46" t="n"/>
    </row>
    <row r="18" ht="15" customHeight="1" s="25">
      <c r="A18" s="45" t="inlineStr">
        <is>
          <t>Largely fixed (superseded)</t>
        </is>
      </c>
      <c r="B18" s="46">
        <f>COUNTIF(Register!$F$2:$F$500,$A18)</f>
        <v/>
      </c>
      <c r="C18" s="46" t="n"/>
      <c r="D18" s="46" t="n"/>
      <c r="E18" s="46" t="n"/>
      <c r="F18" s="46" t="n"/>
      <c r="G18" s="46" t="n"/>
      <c r="H18" s="46" t="n"/>
    </row>
    <row r="19" ht="15" customHeight="1" s="25">
      <c r="A19" s="45" t="inlineStr">
        <is>
          <t>Closed</t>
        </is>
      </c>
      <c r="B19" s="46">
        <f>COUNTIF(Register!$F$2:$F$500,$A19)</f>
        <v/>
      </c>
      <c r="C19" s="46" t="n"/>
      <c r="D19" s="46" t="n"/>
      <c r="E19" s="46" t="n"/>
      <c r="F19" s="46" t="n"/>
      <c r="G19" s="46" t="n"/>
      <c r="H19" s="46" t="n"/>
    </row>
    <row r="20" ht="15" customHeight="1" s="25">
      <c r="A20" s="45" t="inlineStr">
        <is>
          <t>Independently verified in code</t>
        </is>
      </c>
      <c r="B20" s="46">
        <f>COUNTIF(Register!$G$2:$G$500,"Verified in code")</f>
        <v/>
      </c>
      <c r="C20" s="46" t="n"/>
      <c r="D20" s="46" t="n"/>
      <c r="E20" s="46" t="n"/>
      <c r="F20" s="46" t="n"/>
      <c r="G20" s="46" t="n"/>
      <c r="H20" s="4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2026-08-04T14:04:17Z</dcterms:created>
  <dcterms:modified xmlns:dcterms="http://purl.org/dc/terms/" xmlns:xsi="http://www.w3.org/2001/XMLSchema-instance" xsi:type="dcterms:W3CDTF">2026-08-05T19:37:45Z</dcterms:modified>
  <cp:revision>0</cp:revision>
</cp:coreProperties>
</file>